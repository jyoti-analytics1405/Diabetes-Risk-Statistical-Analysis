
<file path=[Content_Types].xml><?xml version="1.0" encoding="utf-8"?>
<Types xmlns="http://schemas.openxmlformats.org/package/2006/content-types"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user\OneDrive\Desktop\"/>
    </mc:Choice>
  </mc:AlternateContent>
  <xr:revisionPtr revIDLastSave="0" documentId="13_ncr:1_{9414A982-79D2-43B1-8409-B660AAF8A662}" xr6:coauthVersionLast="47" xr6:coauthVersionMax="47" xr10:uidLastSave="{00000000-0000-0000-0000-000000000000}"/>
  <bookViews>
    <workbookView xWindow="-108" yWindow="-108" windowWidth="23256" windowHeight="12456" tabRatio="500" activeTab="4" xr2:uid="{00000000-000D-0000-FFFF-FFFF00000000}"/>
  </bookViews>
  <sheets>
    <sheet name="diabetes" sheetId="1" r:id="rId1"/>
    <sheet name="CLEAN DATA " sheetId="2" r:id="rId2"/>
    <sheet name="P- VALUE AND CORRELATION" sheetId="5" r:id="rId3"/>
    <sheet name="DESCRIPTIVE STATISTIC " sheetId="3" r:id="rId4"/>
    <sheet name="PIVOT TABLE " sheetId="4" r:id="rId5"/>
  </sheets>
  <definedNames>
    <definedName name="_xlcn.WorksheetConnection_CLEANDATAA1G769" hidden="1">'CLEAN DATA '!$A$1:$G$769</definedName>
  </definedNames>
  <calcPr calcId="191029"/>
  <pivotCaches>
    <pivotCache cacheId="0" r:id="rId6"/>
  </pivotCaches>
  <extLst>
    <ext xmlns:x15="http://schemas.microsoft.com/office/spreadsheetml/2010/11/main" uri="{FCE2AD5D-F65C-4FA6-A056-5C36A1767C68}">
      <x15:dataModel>
        <x15:modelTables>
          <x15:modelTable id="Range" name="Range" connection="WorksheetConnection_CLEAN DATA !$A$1:$G$769"/>
        </x15:modelTable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D16" i="5" l="1"/>
  <c r="D20" i="5"/>
  <c r="D18" i="5"/>
  <c r="D14" i="5"/>
  <c r="D12" i="5"/>
  <c r="D10" i="5"/>
  <c r="D4" i="5" a="1"/>
  <c r="F31" i="3" a="1"/>
  <c r="F31" i="3" s="1"/>
  <c r="D31" i="3" a="1"/>
  <c r="D31" i="3" s="1"/>
  <c r="F29" i="3" a="1"/>
  <c r="F29" i="3" s="1"/>
  <c r="D29" i="3" a="1"/>
  <c r="D29" i="3" s="1"/>
  <c r="F27" i="3" a="1"/>
  <c r="F27" i="3" s="1"/>
  <c r="D27" i="3" a="1"/>
  <c r="D27" i="3" s="1"/>
  <c r="F25" i="3" a="1"/>
  <c r="F25" i="3" s="1"/>
  <c r="D25" i="3" a="1"/>
  <c r="D25" i="3" s="1"/>
  <c r="F21" i="3" a="1"/>
  <c r="F21" i="3" s="1"/>
  <c r="D21" i="3" a="1"/>
  <c r="D21" i="3" s="1"/>
  <c r="F19" i="3" a="1"/>
  <c r="F19" i="3" s="1"/>
  <c r="D19" i="3" a="1"/>
  <c r="D19" i="3" s="1"/>
  <c r="F17" i="3" a="1"/>
  <c r="F17" i="3" s="1"/>
  <c r="D17" i="3" a="1"/>
  <c r="D17" i="3" s="1"/>
  <c r="F15" i="3" a="1"/>
  <c r="F15" i="3" s="1"/>
  <c r="D15" i="3" a="1"/>
  <c r="D15" i="3" s="1"/>
  <c r="F10" i="3"/>
  <c r="D10" i="3"/>
  <c r="F8" i="3"/>
  <c r="D8" i="3"/>
  <c r="F6" i="3"/>
  <c r="D6" i="3"/>
  <c r="F4" i="3"/>
  <c r="D4" i="3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AFEEF46B-EB36-4A3A-91BB-55E1FDB2C620}" keepAlive="1" name="ThisWorkbookDataModel" description="Data Model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2" xr16:uid="{A30FD7AB-B874-49BB-BA2A-07BDB7325B4C}" name="WorksheetConnection_CLEAN DATA !$A$1:$G$769" type="102" refreshedVersion="8" minRefreshableVersion="5">
    <extLst>
      <ext xmlns:x15="http://schemas.microsoft.com/office/spreadsheetml/2010/11/main" uri="{DE250136-89BD-433C-8126-D09CA5730AF9}">
        <x15:connection id="Range" autoDelete="1">
          <x15:rangePr sourceName="_xlcn.WorksheetConnection_CLEANDATAA1G769"/>
        </x15:connection>
      </ext>
    </extLst>
  </connection>
</connection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<sst xmlns="http://schemas.openxmlformats.org/spreadsheetml/2006/main" count="324" uniqueCount="50">
  <si>
    <t>Pregnancies</t>
  </si>
  <si>
    <t>Glucose</t>
  </si>
  <si>
    <t>BloodPressure</t>
  </si>
  <si>
    <t>SkinThickness</t>
  </si>
  <si>
    <t>Insulin</t>
  </si>
  <si>
    <t>BMI</t>
  </si>
  <si>
    <t>DiabetesPedigreeFunction</t>
  </si>
  <si>
    <t>Age</t>
  </si>
  <si>
    <t>Outcome</t>
  </si>
  <si>
    <t>GLUCOSE</t>
  </si>
  <si>
    <t xml:space="preserve">BLOOD PRESSURE </t>
  </si>
  <si>
    <t xml:space="preserve">BMI </t>
  </si>
  <si>
    <t>Outcome = 0 (Non-Diabetic)</t>
  </si>
  <si>
    <t>Outcome = 1 (Diabetic)</t>
  </si>
  <si>
    <t>MEAN GLUCOSE</t>
  </si>
  <si>
    <t xml:space="preserve"> MEAN BLOOD PRESSURE </t>
  </si>
  <si>
    <t>MEAN BMI</t>
  </si>
  <si>
    <t xml:space="preserve">MEAN AGE </t>
  </si>
  <si>
    <t>MEDIAN GLUCOSE</t>
  </si>
  <si>
    <t xml:space="preserve"> MEDIAN BLOOD PRESSURE </t>
  </si>
  <si>
    <t>MEDIAN BMI</t>
  </si>
  <si>
    <t xml:space="preserve">MEDIAN  AGE </t>
  </si>
  <si>
    <t>SD GLUCOSE</t>
  </si>
  <si>
    <t xml:space="preserve">SD BLOOD PRESSURE </t>
  </si>
  <si>
    <t>SD BMI</t>
  </si>
  <si>
    <t xml:space="preserve">SD AGE </t>
  </si>
  <si>
    <t>Row Labels</t>
  </si>
  <si>
    <t>Grand Total</t>
  </si>
  <si>
    <t>Average of BloodPressure</t>
  </si>
  <si>
    <t>Average of BMI</t>
  </si>
  <si>
    <t>Average of Pregnancies</t>
  </si>
  <si>
    <t>Average of DiabetesPedigreeFunction</t>
  </si>
  <si>
    <t>Average of Glucose</t>
  </si>
  <si>
    <t>Average of Age</t>
  </si>
  <si>
    <t>Glucose_NonDiabetic</t>
  </si>
  <si>
    <t>Glucose_Diabetic</t>
  </si>
  <si>
    <t/>
  </si>
  <si>
    <t>T-Test p-value (Glucose)</t>
  </si>
  <si>
    <t>CORRELATION WITH OUTCOME</t>
  </si>
  <si>
    <t xml:space="preserve">VARIABLE </t>
  </si>
  <si>
    <t xml:space="preserve">FORMULA </t>
  </si>
  <si>
    <t xml:space="preserve">AGE </t>
  </si>
  <si>
    <t>PREGNENCIES</t>
  </si>
  <si>
    <t>DIABETES PEDUGREE FUNCTION</t>
  </si>
  <si>
    <t xml:space="preserve">STRENGHT </t>
  </si>
  <si>
    <t>STRONG</t>
  </si>
  <si>
    <t xml:space="preserve">MODERATE </t>
  </si>
  <si>
    <t xml:space="preserve">WEAK - MODERATE </t>
  </si>
  <si>
    <t xml:space="preserve">WEAK </t>
  </si>
  <si>
    <t>MOST- WEAK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</si>
</sst>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charset val="1"/>
    </font>
    <font>
      <sz val="20"/>
      <color theme="1"/>
      <name val="Calibri"/>
      <family val="2"/>
      <charset val="1"/>
    </font>
    <font>
      <sz val="14"/>
      <color theme="1"/>
      <name val="Calibri"/>
      <family val="2"/>
      <charset val="1"/>
    </font>
  </fonts>
  <fills count="16">
    <fill>
      <patternFill patternType="none"/>
    </fill>
    <fill>
      <patternFill patternType="gray125"/>
    </fill>
    <fill>
      <patternFill patternType="solid">
        <fgColor rgb="FF00B050"/>
        <bgColor rgb="FF008080"/>
      </patternFill>
    </fill>
    <fill>
      <patternFill patternType="solid">
        <fgColor rgb="FFFFFF00"/>
        <bgColor rgb="FFFFFF00"/>
      </patternFill>
    </fill>
    <fill>
      <patternFill patternType="solid">
        <fgColor theme="5"/>
        <bgColor rgb="FFFF8080"/>
      </patternFill>
    </fill>
    <fill>
      <patternFill patternType="solid">
        <fgColor theme="4"/>
        <bgColor rgb="FF666699"/>
      </patternFill>
    </fill>
    <fill>
      <patternFill patternType="solid">
        <fgColor theme="3" tint="0.59987182226020086"/>
        <bgColor rgb="FF99CCFF"/>
      </patternFill>
    </fill>
    <fill>
      <patternFill patternType="solid">
        <fgColor theme="5" tint="-0.249977111117893"/>
        <bgColor rgb="FFED7D31"/>
      </patternFill>
    </fill>
    <fill>
      <patternFill patternType="solid">
        <fgColor rgb="FF00B050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0000"/>
        <bgColor rgb="FF008080"/>
      </patternFill>
    </fill>
    <fill>
      <patternFill patternType="solid">
        <fgColor rgb="FFFF0000"/>
        <bgColor indexed="64"/>
      </patternFill>
    </fill>
    <fill>
      <patternFill patternType="solid">
        <fgColor theme="6" tint="0.399975585192419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0">
    <xf numFmtId="0" fontId="0" fillId="0" borderId="0" xfId="0"/>
    <xf numFmtId="0" fontId="0" fillId="2" borderId="0" xfId="0" applyFill="1" applyAlignment="1">
      <alignment horizontal="center"/>
    </xf>
    <xf numFmtId="0" fontId="0" fillId="0" borderId="0" xfId="0" applyAlignment="1">
      <alignment horizontal="center"/>
    </xf>
    <xf numFmtId="0" fontId="0" fillId="3" borderId="0" xfId="0" applyFill="1"/>
    <xf numFmtId="0" fontId="0" fillId="4" borderId="0" xfId="0" applyFill="1"/>
    <xf numFmtId="0" fontId="0" fillId="4" borderId="0" xfId="0" applyFill="1" applyAlignment="1">
      <alignment horizontal="center"/>
    </xf>
    <xf numFmtId="0" fontId="0" fillId="5" borderId="0" xfId="0" applyFill="1"/>
    <xf numFmtId="0" fontId="0" fillId="6" borderId="0" xfId="0" applyFill="1"/>
    <xf numFmtId="0" fontId="0" fillId="7" borderId="0" xfId="0" applyFill="1" applyAlignment="1">
      <alignment horizontal="center"/>
    </xf>
    <xf numFmtId="0" fontId="0" fillId="7" borderId="0" xfId="0" applyFill="1"/>
    <xf numFmtId="0" fontId="0" fillId="8" borderId="0" xfId="0" applyFill="1" applyAlignment="1">
      <alignment horizontal="center"/>
    </xf>
    <xf numFmtId="0" fontId="0" fillId="9" borderId="0" xfId="0" applyFill="1"/>
    <xf numFmtId="0" fontId="0" fillId="10" borderId="0" xfId="0" applyFill="1"/>
    <xf numFmtId="0" fontId="1" fillId="11" borderId="0" xfId="0" applyFont="1" applyFill="1"/>
    <xf numFmtId="0" fontId="0" fillId="10" borderId="0" xfId="0" applyFill="1" applyAlignment="1">
      <alignment horizontal="center"/>
    </xf>
    <xf numFmtId="0" fontId="0" fillId="12" borderId="0" xfId="0" applyFill="1" applyAlignment="1">
      <alignment horizontal="center"/>
    </xf>
    <xf numFmtId="0" fontId="0" fillId="13" borderId="0" xfId="0" applyFill="1" applyAlignment="1">
      <alignment horizontal="center"/>
    </xf>
    <xf numFmtId="0" fontId="0" fillId="14" borderId="0" xfId="0" applyFill="1" applyAlignment="1">
      <alignment horizontal="center"/>
    </xf>
    <xf numFmtId="0" fontId="0" fillId="13" borderId="0" xfId="0" applyFill="1"/>
    <xf numFmtId="0" fontId="2" fillId="15" borderId="0" xfId="0" applyFont="1" applyFill="1" applyAlignment="1">
      <alignment horizontal="center"/>
    </xf>
  </cellXfs>
  <cellStyles count="1">
    <cellStyle name="Normal" xfId="0" builtinId="0"/>
  </cellStyles>
  <dxfs count="18"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fill>
        <patternFill patternType="solid">
          <bgColor theme="6" tint="0.39997558519241921"/>
        </patternFill>
      </fill>
    </dxf>
    <dxf>
      <fill>
        <patternFill patternType="solid">
          <bgColor theme="6" tint="0.39997558519241921"/>
        </patternFill>
      </fill>
    </dxf>
    <dxf>
      <fill>
        <patternFill patternType="solid">
          <bgColor theme="6" tint="0.39997558519241921"/>
        </patternFill>
      </fill>
    </dxf>
    <dxf>
      <fill>
        <patternFill patternType="solid">
          <bgColor theme="6" tint="0.39997558519241921"/>
        </patternFill>
      </fill>
    </dxf>
    <dxf>
      <fill>
        <patternFill patternType="solid">
          <bgColor theme="6" tint="0.39997558519241921"/>
        </patternFill>
      </fill>
    </dxf>
    <dxf>
      <fill>
        <patternFill patternType="solid">
          <bgColor theme="6" tint="0.39997558519241921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ADB9CA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4472C4"/>
      <rgbColor rgb="FF33CCCC"/>
      <rgbColor rgb="FF99CC00"/>
      <rgbColor rgb="FFFFCC00"/>
      <rgbColor rgb="FFFF9900"/>
      <rgbColor rgb="FFED7D31"/>
      <rgbColor rgb="FF666699"/>
      <rgbColor rgb="FF969696"/>
      <rgbColor rgb="FF003366"/>
      <rgbColor rgb="FF00B050"/>
      <rgbColor rgb="FF003300"/>
      <rgbColor rgb="FF333300"/>
      <rgbColor rgb="FFC55A11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onnections" Target="connections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powerPivotData" Target="model/item.data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11" Type="http://schemas.openxmlformats.org/officeDocument/2006/relationships/sheetMetadata" Target="metadata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IN" sz="1600" b="1" i="0" u="none" strike="noStrike" baseline="0"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</a:rPr>
              <a:t>Correlation of Health Metrics with Diabetes Outcome</a:t>
            </a:r>
            <a:r>
              <a:rPr lang="en-US"/>
              <a:t> 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'P- VALUE AND CORRELATION'!$D$9</c:f>
              <c:strCache>
                <c:ptCount val="1"/>
                <c:pt idx="0">
                  <c:v>FORMULA 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759E-42B8-BA7D-CFBD5A37F2C6}"/>
              </c:ext>
            </c:extLst>
          </c:dPt>
          <c:cat>
            <c:strRef>
              <c:f>'P- VALUE AND CORRELATION'!$C$10:$C$20</c:f>
              <c:strCache>
                <c:ptCount val="11"/>
                <c:pt idx="0">
                  <c:v>GLUCOSE</c:v>
                </c:pt>
                <c:pt idx="2">
                  <c:v>BLOOD PRESSURE </c:v>
                </c:pt>
                <c:pt idx="4">
                  <c:v>BMI </c:v>
                </c:pt>
                <c:pt idx="6">
                  <c:v>AGE </c:v>
                </c:pt>
                <c:pt idx="8">
                  <c:v>PREGNENCIES</c:v>
                </c:pt>
                <c:pt idx="10">
                  <c:v>DIABETES PEDUGREE FUNCTION</c:v>
                </c:pt>
              </c:strCache>
            </c:strRef>
          </c:cat>
          <c:val>
            <c:numRef>
              <c:f>'P- VALUE AND CORRELATION'!$D$10:$D$20</c:f>
              <c:numCache>
                <c:formatCode>General</c:formatCode>
                <c:ptCount val="11"/>
                <c:pt idx="0">
                  <c:v>0.49278240391502864</c:v>
                </c:pt>
                <c:pt idx="2">
                  <c:v>0.16572291308057716</c:v>
                </c:pt>
                <c:pt idx="4">
                  <c:v>0.3122490266732727</c:v>
                </c:pt>
                <c:pt idx="6">
                  <c:v>0.23835598302719743</c:v>
                </c:pt>
                <c:pt idx="8">
                  <c:v>0.2218981530339883</c:v>
                </c:pt>
                <c:pt idx="10">
                  <c:v>0.17384406565296084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59E-42B8-BA7D-CFBD5A37F2C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15"/>
        <c:overlap val="-20"/>
        <c:axId val="628086464"/>
        <c:axId val="547632688"/>
      </c:barChart>
      <c:catAx>
        <c:axId val="628086464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cap="all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 sz="900" b="1" i="0" u="none" strike="noStrike" cap="all" baseline="0"/>
                  <a:t>Health Metric</a:t>
                </a:r>
                <a:endParaRPr lang="en-IN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1" i="0" u="none" strike="noStrike" kern="1200" cap="all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IN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47632688"/>
        <c:crosses val="autoZero"/>
        <c:auto val="1"/>
        <c:lblAlgn val="ctr"/>
        <c:lblOffset val="100"/>
        <c:noMultiLvlLbl val="0"/>
      </c:catAx>
      <c:valAx>
        <c:axId val="54763268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cap="all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 sz="900" b="1" i="0" u="none" strike="noStrike" cap="all" baseline="0"/>
                  <a:t>Correlation Coefficient</a:t>
                </a:r>
                <a:endParaRPr lang="en-IN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1" i="0" u="none" strike="noStrike" kern="1200" cap="all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IN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2808646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IN" sz="1600" b="1" i="0" u="none" strike="noStrike" baseline="0"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</a:rPr>
              <a:t>verage Health Metrics: Diabetic vs Non-Diabetic</a:t>
            </a:r>
          </a:p>
          <a:p>
            <a:pPr>
              <a:defRPr/>
            </a:pPr>
            <a:endParaRPr lang="en-IN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6.5358705161854783E-2"/>
          <c:y val="0.16449074074074077"/>
          <c:w val="0.89019685039370078"/>
          <c:h val="0.55283136482939632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'DESCRIPTIVE STATISTIC '!$D$2</c:f>
              <c:strCache>
                <c:ptCount val="1"/>
                <c:pt idx="0">
                  <c:v>Outcome = 0 (Non-Diabetic)</c:v>
                </c:pt>
              </c:strCache>
            </c:strRef>
          </c:tx>
          <c:spPr>
            <a:gradFill>
              <a:gsLst>
                <a:gs pos="0">
                  <a:schemeClr val="accent1">
                    <a:lumMod val="102000"/>
                    <a:tint val="94000"/>
                  </a:schemeClr>
                </a:gs>
                <a:gs pos="50000">
                  <a:schemeClr val="accent1"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hade val="78000"/>
                  </a:schemeClr>
                </a:gs>
              </a:gsLst>
              <a:lin ang="5400000" scaled="0"/>
              <a:tileRect/>
            </a:gradFill>
            <a:ln>
              <a:noFill/>
            </a:ln>
            <a:effectLst/>
          </c:spPr>
          <c:invertIfNegative val="0"/>
          <c:cat>
            <c:strRef>
              <c:f>('DESCRIPTIVE STATISTIC '!$C$4,'DESCRIPTIVE STATISTIC '!$C$6,'DESCRIPTIVE STATISTIC '!$C$8,'DESCRIPTIVE STATISTIC '!$C$10)</c:f>
              <c:strCache>
                <c:ptCount val="4"/>
                <c:pt idx="0">
                  <c:v>MEAN GLUCOSE</c:v>
                </c:pt>
                <c:pt idx="1">
                  <c:v> MEAN BLOOD PRESSURE </c:v>
                </c:pt>
                <c:pt idx="2">
                  <c:v>MEAN BMI</c:v>
                </c:pt>
                <c:pt idx="3">
                  <c:v>MEAN AGE </c:v>
                </c:pt>
              </c:strCache>
            </c:strRef>
          </c:cat>
          <c:val>
            <c:numRef>
              <c:f>('DESCRIPTIVE STATISTIC '!$D$4,'DESCRIPTIVE STATISTIC '!$D$6,'DESCRIPTIVE STATISTIC '!$D$8,'DESCRIPTIVE STATISTIC '!$D$10)</c:f>
              <c:numCache>
                <c:formatCode>General</c:formatCode>
                <c:ptCount val="4"/>
                <c:pt idx="0">
                  <c:v>110.682</c:v>
                </c:pt>
                <c:pt idx="1">
                  <c:v>70.92</c:v>
                </c:pt>
                <c:pt idx="2">
                  <c:v>30.880199999999959</c:v>
                </c:pt>
                <c:pt idx="3">
                  <c:v>31.19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110-44A7-B435-B9399F8C754A}"/>
            </c:ext>
          </c:extLst>
        </c:ser>
        <c:ser>
          <c:idx val="2"/>
          <c:order val="2"/>
          <c:tx>
            <c:strRef>
              <c:f>'DESCRIPTIVE STATISTIC '!$F$2</c:f>
              <c:strCache>
                <c:ptCount val="1"/>
                <c:pt idx="0">
                  <c:v>Outcome = 1 (Diabetic)</c:v>
                </c:pt>
              </c:strCache>
            </c:strRef>
          </c:tx>
          <c:spPr>
            <a:gradFill>
              <a:gsLst>
                <a:gs pos="0">
                  <a:schemeClr val="accent3">
                    <a:lumMod val="102000"/>
                    <a:tint val="94000"/>
                  </a:schemeClr>
                </a:gs>
                <a:gs pos="50000">
                  <a:schemeClr val="accent3">
                    <a:lumMod val="100000"/>
                    <a:shade val="100000"/>
                  </a:schemeClr>
                </a:gs>
                <a:gs pos="100000">
                  <a:schemeClr val="accent3">
                    <a:lumMod val="99000"/>
                    <a:shade val="78000"/>
                  </a:schemeClr>
                </a:gs>
              </a:gsLst>
              <a:lin ang="5400000" scaled="0"/>
              <a:tileRect/>
            </a:gradFill>
            <a:ln>
              <a:noFill/>
            </a:ln>
            <a:effectLst/>
          </c:spPr>
          <c:invertIfNegative val="0"/>
          <c:cat>
            <c:strRef>
              <c:f>('DESCRIPTIVE STATISTIC '!$C$4,'DESCRIPTIVE STATISTIC '!$C$6,'DESCRIPTIVE STATISTIC '!$C$8,'DESCRIPTIVE STATISTIC '!$C$10)</c:f>
              <c:strCache>
                <c:ptCount val="4"/>
                <c:pt idx="0">
                  <c:v>MEAN GLUCOSE</c:v>
                </c:pt>
                <c:pt idx="1">
                  <c:v> MEAN BLOOD PRESSURE </c:v>
                </c:pt>
                <c:pt idx="2">
                  <c:v>MEAN BMI</c:v>
                </c:pt>
                <c:pt idx="3">
                  <c:v>MEAN AGE </c:v>
                </c:pt>
              </c:strCache>
            </c:strRef>
          </c:cat>
          <c:val>
            <c:numRef>
              <c:f>('DESCRIPTIVE STATISTIC '!$F$4,'DESCRIPTIVE STATISTIC '!$F$6,'DESCRIPTIVE STATISTIC '!$F$8,'DESCRIPTIVE STATISTIC '!$F$10)</c:f>
              <c:numCache>
                <c:formatCode>General</c:formatCode>
                <c:ptCount val="4"/>
                <c:pt idx="0">
                  <c:v>142.13059701492537</c:v>
                </c:pt>
                <c:pt idx="1">
                  <c:v>75.123134328358205</c:v>
                </c:pt>
                <c:pt idx="2">
                  <c:v>35.381343283582041</c:v>
                </c:pt>
                <c:pt idx="3">
                  <c:v>37.067164179104481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0110-44A7-B435-B9399F8C754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overlap val="-24"/>
        <c:axId val="628072080"/>
        <c:axId val="225304592"/>
        <c:extLst>
          <c:ext xmlns:c15="http://schemas.microsoft.com/office/drawing/2012/chart" uri="{02D57815-91ED-43cb-92C2-25804820EDAC}">
            <c15:filteredBarSeries>
              <c15:ser>
                <c:idx val="1"/>
                <c:order val="1"/>
                <c:tx>
                  <c:strRef>
                    <c:extLst>
                      <c:ext uri="{02D57815-91ED-43cb-92C2-25804820EDAC}">
                        <c15:formulaRef>
                          <c15:sqref>'DESCRIPTIVE STATISTIC '!$E$2</c15:sqref>
                        </c15:formulaRef>
                      </c:ext>
                    </c:extLst>
                    <c:strCache>
                      <c:ptCount val="1"/>
                    </c:strCache>
                  </c:strRef>
                </c:tx>
                <c:spPr>
                  <a:gradFill>
                    <a:gsLst>
                      <a:gs pos="0">
                        <a:schemeClr val="accent2">
                          <a:lumMod val="102000"/>
                          <a:tint val="94000"/>
                        </a:schemeClr>
                      </a:gs>
                      <a:gs pos="50000">
                        <a:schemeClr val="accent2">
                          <a:lumMod val="100000"/>
                          <a:shade val="100000"/>
                        </a:schemeClr>
                      </a:gs>
                      <a:gs pos="100000">
                        <a:schemeClr val="accent2">
                          <a:lumMod val="99000"/>
                          <a:shade val="78000"/>
                        </a:schemeClr>
                      </a:gs>
                    </a:gsLst>
                    <a:lin ang="5400000" scaled="0"/>
                    <a:tileRect/>
                  </a:gradFill>
                  <a:ln>
                    <a:noFill/>
                  </a:ln>
                  <a:effectLst/>
                </c:spPr>
                <c:invertIfNegative val="0"/>
                <c:cat>
                  <c:strRef>
                    <c:extLst>
                      <c:ext uri="{02D57815-91ED-43cb-92C2-25804820EDAC}">
                        <c15:formulaRef>
                          <c15:sqref>('DESCRIPTIVE STATISTIC '!$C$4,'DESCRIPTIVE STATISTIC '!$C$6,'DESCRIPTIVE STATISTIC '!$C$8,'DESCRIPTIVE STATISTIC '!$C$10)</c15:sqref>
                        </c15:formulaRef>
                      </c:ext>
                    </c:extLst>
                    <c:strCache>
                      <c:ptCount val="4"/>
                      <c:pt idx="0">
                        <c:v>MEAN GLUCOSE</c:v>
                      </c:pt>
                      <c:pt idx="1">
                        <c:v> MEAN BLOOD PRESSURE </c:v>
                      </c:pt>
                      <c:pt idx="2">
                        <c:v>MEAN BMI</c:v>
                      </c:pt>
                      <c:pt idx="3">
                        <c:v>MEAN AGE 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ormulaRef>
                          <c15:sqref>('DESCRIPTIVE STATISTIC '!$E$4,'DESCRIPTIVE STATISTIC '!$E$6,'DESCRIPTIVE STATISTIC '!$E$8,'DESCRIPTIVE STATISTIC '!$E$10)</c15:sqref>
                        </c15:formulaRef>
                      </c:ext>
                    </c:extLst>
                    <c:numCache>
                      <c:formatCode>General</c:formatCode>
                      <c:ptCount val="4"/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1-0110-44A7-B435-B9399F8C754A}"/>
                  </c:ext>
                </c:extLst>
              </c15:ser>
            </c15:filteredBarSeries>
          </c:ext>
        </c:extLst>
      </c:barChart>
      <c:catAx>
        <c:axId val="62807208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25304592"/>
        <c:crosses val="autoZero"/>
        <c:auto val="1"/>
        <c:lblAlgn val="ctr"/>
        <c:lblOffset val="100"/>
        <c:noMultiLvlLbl val="0"/>
      </c:catAx>
      <c:valAx>
        <c:axId val="2253045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2807208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2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ize="5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09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lt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lt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22860</xdr:colOff>
      <xdr:row>8</xdr:row>
      <xdr:rowOff>171450</xdr:rowOff>
    </xdr:from>
    <xdr:to>
      <xdr:col>18</xdr:col>
      <xdr:colOff>259080</xdr:colOff>
      <xdr:row>28</xdr:row>
      <xdr:rowOff>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89101C8-1009-AC7F-7405-66120E9A1F2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15875</xdr:colOff>
      <xdr:row>1</xdr:row>
      <xdr:rowOff>164304</xdr:rowOff>
    </xdr:from>
    <xdr:to>
      <xdr:col>15</xdr:col>
      <xdr:colOff>119063</xdr:colOff>
      <xdr:row>19</xdr:row>
      <xdr:rowOff>71436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56C6394A-4D6E-9184-CCD6-3E6F3AD30D7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user" refreshedDate="46215.873523263886" backgroundQuery="1" createdVersion="8" refreshedVersion="8" minRefreshableVersion="3" recordCount="0" supportSubquery="1" supportAdvancedDrill="1" xr:uid="{56285D93-D39A-4164-92BB-438EB0D5EB2E}">
  <cacheSource type="external" connectionId="1"/>
  <cacheFields count="7">
    <cacheField name="[Range].[Outcome].[Outcome]" caption="Outcome" numFmtId="0" hierarchy="6" level="1">
      <sharedItems containsSemiMixedTypes="0" containsString="0" containsNumber="1" containsInteger="1" minValue="0" maxValue="1" count="2">
        <n v="0"/>
        <n v="1"/>
      </sharedItems>
      <extLst>
        <ext xmlns:x15="http://schemas.microsoft.com/office/spreadsheetml/2010/11/main" uri="{4F2E5C28-24EA-4eb8-9CBF-B6C8F9C3D259}">
          <x15:cachedUniqueNames>
            <x15:cachedUniqueName index="0" name="[Range].[Outcome].&amp;[0]"/>
            <x15:cachedUniqueName index="1" name="[Range].[Outcome].&amp;[1]"/>
          </x15:cachedUniqueNames>
        </ext>
      </extLst>
    </cacheField>
    <cacheField name="[Measures].[Average of BloodPressure]" caption="Average of BloodPressure" numFmtId="0" hierarchy="16" level="32767"/>
    <cacheField name="[Measures].[Average of BMI]" caption="Average of BMI" numFmtId="0" hierarchy="17" level="32767"/>
    <cacheField name="[Measures].[Average of Pregnancies]" caption="Average of Pregnancies" numFmtId="0" hierarchy="18" level="32767"/>
    <cacheField name="[Measures].[Average of DiabetesPedigreeFunction]" caption="Average of DiabetesPedigreeFunction" numFmtId="0" hierarchy="19" level="32767"/>
    <cacheField name="[Measures].[Average of Glucose]" caption="Average of Glucose" numFmtId="0" hierarchy="20" level="32767"/>
    <cacheField name="[Measures].[Average of Age]" caption="Average of Age" numFmtId="0" hierarchy="21" level="32767"/>
  </cacheFields>
  <cacheHierarchies count="22">
    <cacheHierarchy uniqueName="[Range].[Pregnancies]" caption="Pregnancies" attribute="1" defaultMemberUniqueName="[Range].[Pregnancies].[All]" allUniqueName="[Range].[Pregnancies].[All]" dimensionUniqueName="[Range]" displayFolder="" count="2" memberValueDatatype="20" unbalanced="0"/>
    <cacheHierarchy uniqueName="[Range].[Glucose]" caption="Glucose" attribute="1" defaultMemberUniqueName="[Range].[Glucose].[All]" allUniqueName="[Range].[Glucose].[All]" dimensionUniqueName="[Range]" displayFolder="" count="2" memberValueDatatype="20" unbalanced="0"/>
    <cacheHierarchy uniqueName="[Range].[BloodPressure]" caption="BloodPressure" attribute="1" defaultMemberUniqueName="[Range].[BloodPressure].[All]" allUniqueName="[Range].[BloodPressure].[All]" dimensionUniqueName="[Range]" displayFolder="" count="2" memberValueDatatype="20" unbalanced="0"/>
    <cacheHierarchy uniqueName="[Range].[BMI]" caption="BMI" attribute="1" defaultMemberUniqueName="[Range].[BMI].[All]" allUniqueName="[Range].[BMI].[All]" dimensionUniqueName="[Range]" displayFolder="" count="2" memberValueDatatype="5" unbalanced="0"/>
    <cacheHierarchy uniqueName="[Range].[DiabetesPedigreeFunction]" caption="DiabetesPedigreeFunction" attribute="1" defaultMemberUniqueName="[Range].[DiabetesPedigreeFunction].[All]" allUniqueName="[Range].[DiabetesPedigreeFunction].[All]" dimensionUniqueName="[Range]" displayFolder="" count="2" memberValueDatatype="5" unbalanced="0"/>
    <cacheHierarchy uniqueName="[Range].[Age]" caption="Age" attribute="1" defaultMemberUniqueName="[Range].[Age].[All]" allUniqueName="[Range].[Age].[All]" dimensionUniqueName="[Range]" displayFolder="" count="2" memberValueDatatype="20" unbalanced="0"/>
    <cacheHierarchy uniqueName="[Range].[Outcome]" caption="Outcome" attribute="1" defaultMemberUniqueName="[Range].[Outcome].[All]" allUniqueName="[Range].[Outcome].[All]" dimensionUniqueName="[Range]" displayFolder="" count="2" memberValueDatatype="20" unbalanced="0">
      <fieldsUsage count="2">
        <fieldUsage x="-1"/>
        <fieldUsage x="0"/>
      </fieldsUsage>
    </cacheHierarchy>
    <cacheHierarchy uniqueName="[Measures].[__XL_Count Range]" caption="__XL_Count Range" measure="1" displayFolder="" measureGroup="Range" count="0" hidden="1"/>
    <cacheHierarchy uniqueName="[Measures].[__No measures defined]" caption="__No measures defined" measure="1" displayFolder="" count="0" hidden="1"/>
    <cacheHierarchy uniqueName="[Measures].[Sum of Outcome]" caption="Sum of Outcome" measure="1" displayFolder="" measureGroup="Range" count="0" hidden="1">
      <extLst>
        <ext xmlns:x15="http://schemas.microsoft.com/office/spreadsheetml/2010/11/main" uri="{B97F6D7D-B522-45F9-BDA1-12C45D357490}">
          <x15:cacheHierarchy aggregatedColumn="6"/>
        </ext>
      </extLst>
    </cacheHierarchy>
    <cacheHierarchy uniqueName="[Measures].[Sum of Pregnancies]" caption="Sum of Pregnancies" measure="1" displayFolder="" measureGroup="Range" count="0" hidden="1"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Sum of Glucose]" caption="Sum of Glucose" measure="1" displayFolder="" measureGroup="Range" count="0" hidden="1">
      <extLst>
        <ext xmlns:x15="http://schemas.microsoft.com/office/spreadsheetml/2010/11/main" uri="{B97F6D7D-B522-45F9-BDA1-12C45D357490}">
          <x15:cacheHierarchy aggregatedColumn="1"/>
        </ext>
      </extLst>
    </cacheHierarchy>
    <cacheHierarchy uniqueName="[Measures].[Sum of BloodPressure]" caption="Sum of BloodPressure" measure="1" displayFolder="" measureGroup="Range" count="0" hidden="1">
      <extLst>
        <ext xmlns:x15="http://schemas.microsoft.com/office/spreadsheetml/2010/11/main" uri="{B97F6D7D-B522-45F9-BDA1-12C45D357490}">
          <x15:cacheHierarchy aggregatedColumn="2"/>
        </ext>
      </extLst>
    </cacheHierarchy>
    <cacheHierarchy uniqueName="[Measures].[Sum of BMI]" caption="Sum of BMI" measure="1" displayFolder="" measureGroup="Range" count="0" hidden="1">
      <extLst>
        <ext xmlns:x15="http://schemas.microsoft.com/office/spreadsheetml/2010/11/main" uri="{B97F6D7D-B522-45F9-BDA1-12C45D357490}">
          <x15:cacheHierarchy aggregatedColumn="3"/>
        </ext>
      </extLst>
    </cacheHierarchy>
    <cacheHierarchy uniqueName="[Measures].[Sum of DiabetesPedigreeFunction]" caption="Sum of DiabetesPedigreeFunction" measure="1" displayFolder="" measureGroup="Range" count="0" hidden="1">
      <extLst>
        <ext xmlns:x15="http://schemas.microsoft.com/office/spreadsheetml/2010/11/main" uri="{B97F6D7D-B522-45F9-BDA1-12C45D357490}">
          <x15:cacheHierarchy aggregatedColumn="4"/>
        </ext>
      </extLst>
    </cacheHierarchy>
    <cacheHierarchy uniqueName="[Measures].[Sum of Age]" caption="Sum of Age" measure="1" displayFolder="" measureGroup="Range" count="0" hidden="1">
      <extLst>
        <ext xmlns:x15="http://schemas.microsoft.com/office/spreadsheetml/2010/11/main" uri="{B97F6D7D-B522-45F9-BDA1-12C45D357490}">
          <x15:cacheHierarchy aggregatedColumn="5"/>
        </ext>
      </extLst>
    </cacheHierarchy>
    <cacheHierarchy uniqueName="[Measures].[Average of BloodPressure]" caption="Average of BloodPressure" measure="1" displayFolder="" measureGroup="Range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2"/>
        </ext>
      </extLst>
    </cacheHierarchy>
    <cacheHierarchy uniqueName="[Measures].[Average of BMI]" caption="Average of BMI" measure="1" displayFolder="" measureGroup="Range" count="0" oneField="1" hidden="1">
      <fieldsUsage count="1">
        <fieldUsage x="2"/>
      </fieldsUsage>
      <extLst>
        <ext xmlns:x15="http://schemas.microsoft.com/office/spreadsheetml/2010/11/main" uri="{B97F6D7D-B522-45F9-BDA1-12C45D357490}">
          <x15:cacheHierarchy aggregatedColumn="3"/>
        </ext>
      </extLst>
    </cacheHierarchy>
    <cacheHierarchy uniqueName="[Measures].[Average of Pregnancies]" caption="Average of Pregnancies" measure="1" displayFolder="" measureGroup="Range" count="0" oneField="1" hidden="1">
      <fieldsUsage count="1">
        <fieldUsage x="3"/>
      </fieldsUsage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Average of DiabetesPedigreeFunction]" caption="Average of DiabetesPedigreeFunction" measure="1" displayFolder="" measureGroup="Range" count="0" oneField="1" hidden="1">
      <fieldsUsage count="1">
        <fieldUsage x="4"/>
      </fieldsUsage>
      <extLst>
        <ext xmlns:x15="http://schemas.microsoft.com/office/spreadsheetml/2010/11/main" uri="{B97F6D7D-B522-45F9-BDA1-12C45D357490}">
          <x15:cacheHierarchy aggregatedColumn="4"/>
        </ext>
      </extLst>
    </cacheHierarchy>
    <cacheHierarchy uniqueName="[Measures].[Average of Glucose]" caption="Average of Glucose" measure="1" displayFolder="" measureGroup="Range" count="0" oneField="1" hidden="1">
      <fieldsUsage count="1">
        <fieldUsage x="5"/>
      </fieldsUsage>
      <extLst>
        <ext xmlns:x15="http://schemas.microsoft.com/office/spreadsheetml/2010/11/main" uri="{B97F6D7D-B522-45F9-BDA1-12C45D357490}">
          <x15:cacheHierarchy aggregatedColumn="1"/>
        </ext>
      </extLst>
    </cacheHierarchy>
    <cacheHierarchy uniqueName="[Measures].[Average of Age]" caption="Average of Age" measure="1" displayFolder="" measureGroup="Range" count="0" oneField="1" hidden="1">
      <fieldsUsage count="1">
        <fieldUsage x="6"/>
      </fieldsUsage>
      <extLst>
        <ext xmlns:x15="http://schemas.microsoft.com/office/spreadsheetml/2010/11/main" uri="{B97F6D7D-B522-45F9-BDA1-12C45D357490}">
          <x15:cacheHierarchy aggregatedColumn="5"/>
        </ext>
      </extLst>
    </cacheHierarchy>
  </cacheHierarchies>
  <kpis count="0"/>
  <dimensions count="2">
    <dimension measure="1" name="Measures" uniqueName="[Measures]" caption="Measures"/>
    <dimension name="Range" uniqueName="[Range]" caption="Range"/>
  </dimensions>
  <measureGroups count="1">
    <measureGroup name="Range" caption="Range"/>
  </measureGroups>
  <maps count="1">
    <map measureGroup="0" dimension="1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F8FDAD7-5603-4CA3-9D62-8608FAED1FD3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C5:I8" firstHeaderRow="0" firstDataRow="1" firstDataCol="1"/>
  <pivotFields count="7">
    <pivotField axis="axisRow" allDrilled="1" subtotalTop="0" showAll="0" dataSourceSort="1" defaultSubtotal="0" defaultAttributeDrillState="1">
      <items count="2">
        <item x="0"/>
        <item x="1"/>
      </items>
    </pivotField>
    <pivotField dataField="1" subtotalTop="0" showAll="0" defaultSubtotal="0"/>
    <pivotField dataField="1" subtotalTop="0" showAll="0" defaultSubtotal="0"/>
    <pivotField dataField="1" subtotalTop="0" showAll="0" defaultSubtotal="0"/>
    <pivotField dataField="1" subtotalTop="0" showAll="0" defaultSubtotal="0"/>
    <pivotField dataField="1" subtotalTop="0" showAll="0" defaultSubtotal="0"/>
    <pivotField dataField="1" subtotalTop="0" showAll="0" defaultSubtotal="0"/>
  </pivotFields>
  <rowFields count="1">
    <field x="0"/>
  </rowFields>
  <rowItems count="3">
    <i>
      <x/>
    </i>
    <i>
      <x v="1"/>
    </i>
    <i t="grand">
      <x/>
    </i>
  </rowItems>
  <colFields count="1">
    <field x="-2"/>
  </colFields>
  <colItems count="6">
    <i>
      <x/>
    </i>
    <i i="1">
      <x v="1"/>
    </i>
    <i i="2">
      <x v="2"/>
    </i>
    <i i="3">
      <x v="3"/>
    </i>
    <i i="4">
      <x v="4"/>
    </i>
    <i i="5">
      <x v="5"/>
    </i>
  </colItems>
  <dataFields count="6">
    <dataField name="Average of BloodPressure" fld="1" subtotal="average" baseField="0" baseItem="0"/>
    <dataField name="Average of Glucose" fld="5" subtotal="average" baseField="0" baseItem="0"/>
    <dataField name="Average of BMI" fld="2" subtotal="average" baseField="0" baseItem="0"/>
    <dataField name="Average of DiabetesPedigreeFunction" fld="4" subtotal="average" baseField="0" baseItem="0"/>
    <dataField name="Average of Pregnancies" fld="3" subtotal="average" baseField="0" baseItem="0"/>
    <dataField name="Average of Age" fld="6" subtotal="average" baseField="0" baseItem="0"/>
  </dataFields>
  <formats count="18">
    <format dxfId="17">
      <pivotArea type="all" dataOnly="0" outline="0" fieldPosition="0"/>
    </format>
    <format dxfId="16">
      <pivotArea outline="0" collapsedLevelsAreSubtotals="1" fieldPosition="0"/>
    </format>
    <format dxfId="15">
      <pivotArea field="0" type="button" dataOnly="0" labelOnly="1" outline="0" axis="axisRow" fieldPosition="0"/>
    </format>
    <format dxfId="14">
      <pivotArea dataOnly="0" labelOnly="1" fieldPosition="0">
        <references count="1">
          <reference field="0" count="0"/>
        </references>
      </pivotArea>
    </format>
    <format dxfId="13">
      <pivotArea dataOnly="0" labelOnly="1" grandRow="1" outline="0" fieldPosition="0"/>
    </format>
    <format dxfId="12">
      <pivotArea dataOnly="0" labelOnly="1" outline="0" fieldPosition="0">
        <references count="1">
          <reference field="4294967294" count="6">
            <x v="0"/>
            <x v="1"/>
            <x v="2"/>
            <x v="3"/>
            <x v="4"/>
            <x v="5"/>
          </reference>
        </references>
      </pivotArea>
    </format>
    <format dxfId="11">
      <pivotArea type="all" dataOnly="0" outline="0" fieldPosition="0"/>
    </format>
    <format dxfId="10">
      <pivotArea outline="0" collapsedLevelsAreSubtotals="1" fieldPosition="0"/>
    </format>
    <format dxfId="9">
      <pivotArea field="0" type="button" dataOnly="0" labelOnly="1" outline="0" axis="axisRow" fieldPosition="0"/>
    </format>
    <format dxfId="8">
      <pivotArea dataOnly="0" labelOnly="1" fieldPosition="0">
        <references count="1">
          <reference field="0" count="0"/>
        </references>
      </pivotArea>
    </format>
    <format dxfId="7">
      <pivotArea dataOnly="0" labelOnly="1" grandRow="1" outline="0" fieldPosition="0"/>
    </format>
    <format dxfId="6">
      <pivotArea dataOnly="0" labelOnly="1" outline="0" fieldPosition="0">
        <references count="1">
          <reference field="4294967294" count="6">
            <x v="0"/>
            <x v="1"/>
            <x v="2"/>
            <x v="3"/>
            <x v="4"/>
            <x v="5"/>
          </reference>
        </references>
      </pivotArea>
    </format>
    <format dxfId="5">
      <pivotArea type="all" dataOnly="0" outline="0" fieldPosition="0"/>
    </format>
    <format dxfId="4">
      <pivotArea outline="0" collapsedLevelsAreSubtotals="1" fieldPosition="0"/>
    </format>
    <format dxfId="3">
      <pivotArea field="0" type="button" dataOnly="0" labelOnly="1" outline="0" axis="axisRow" fieldPosition="0"/>
    </format>
    <format dxfId="2">
      <pivotArea dataOnly="0" labelOnly="1" fieldPosition="0">
        <references count="1">
          <reference field="0" count="0"/>
        </references>
      </pivotArea>
    </format>
    <format dxfId="1">
      <pivotArea dataOnly="0" labelOnly="1" grandRow="1" outline="0" fieldPosition="0"/>
    </format>
    <format dxfId="0">
      <pivotArea dataOnly="0" labelOnly="1" outline="0" fieldPosition="0">
        <references count="1">
          <reference field="4294967294" count="6">
            <x v="0"/>
            <x v="1"/>
            <x v="2"/>
            <x v="3"/>
            <x v="4"/>
            <x v="5"/>
          </reference>
        </references>
      </pivotArea>
    </format>
  </formats>
  <pivotHierarchies count="22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 caption="Average of BloodPressure"/>
    <pivotHierarchy dragToData="1" caption="Average of BMI"/>
    <pivotHierarchy dragToData="1" caption="Average of Pregnancies"/>
    <pivotHierarchy dragToData="1" caption="Average of DiabetesPedigreeFunction"/>
    <pivotHierarchy dragToData="1" caption="Average of Glucose"/>
    <pivotHierarchy dragToData="1" caption="Average of Age"/>
  </pivotHierarchies>
  <pivotTableStyleInfo name="PivotStyleLight16" showRowHeaders="1" showColHeaders="1" showRowStripes="0" showColStripes="0" showLastColumn="1"/>
  <rowHierarchiesUsage count="1">
    <rowHierarchyUsage hierarchyUsage="6"/>
  </rowHierarchiesUsage>
  <colHierarchiesUsage count="1">
    <colHierarchyUsage hierarchyUsage="-2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WorksheetConnection_CLEAN DATA !$A$1:$G$769">
        <x15:activeTabTopLevelEntity name="[Range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</a:majorFont>
      <a:minorFont>
        <a:latin typeface="Calibri" panose="020F0502020204030204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/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769"/>
  <sheetViews>
    <sheetView zoomScaleNormal="100" workbookViewId="0">
      <selection activeCell="D16" sqref="D16"/>
    </sheetView>
  </sheetViews>
  <sheetFormatPr defaultColWidth="8.6640625" defaultRowHeight="14.4" x14ac:dyDescent="0.3"/>
  <sheetData>
    <row r="1" spans="1: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3">
      <c r="A2">
        <v>6</v>
      </c>
      <c r="B2">
        <v>148</v>
      </c>
      <c r="C2">
        <v>72</v>
      </c>
      <c r="D2">
        <v>35</v>
      </c>
      <c r="E2">
        <v>0</v>
      </c>
      <c r="F2">
        <v>33.6</v>
      </c>
      <c r="G2">
        <v>0.627</v>
      </c>
      <c r="H2">
        <v>50</v>
      </c>
      <c r="I2">
        <v>1</v>
      </c>
    </row>
    <row r="3" spans="1:9" x14ac:dyDescent="0.3">
      <c r="A3">
        <v>1</v>
      </c>
      <c r="B3">
        <v>85</v>
      </c>
      <c r="C3">
        <v>66</v>
      </c>
      <c r="D3">
        <v>29</v>
      </c>
      <c r="E3">
        <v>0</v>
      </c>
      <c r="F3">
        <v>26.6</v>
      </c>
      <c r="G3">
        <v>0.35099999999999998</v>
      </c>
      <c r="H3">
        <v>31</v>
      </c>
      <c r="I3">
        <v>0</v>
      </c>
    </row>
    <row r="4" spans="1:9" x14ac:dyDescent="0.3">
      <c r="A4">
        <v>8</v>
      </c>
      <c r="B4">
        <v>183</v>
      </c>
      <c r="C4">
        <v>64</v>
      </c>
      <c r="D4">
        <v>0</v>
      </c>
      <c r="E4">
        <v>0</v>
      </c>
      <c r="F4">
        <v>23.3</v>
      </c>
      <c r="G4">
        <v>0.67200000000000004</v>
      </c>
      <c r="H4">
        <v>32</v>
      </c>
      <c r="I4">
        <v>1</v>
      </c>
    </row>
    <row r="5" spans="1:9" x14ac:dyDescent="0.3">
      <c r="A5">
        <v>1</v>
      </c>
      <c r="B5">
        <v>89</v>
      </c>
      <c r="C5">
        <v>66</v>
      </c>
      <c r="D5">
        <v>23</v>
      </c>
      <c r="E5">
        <v>94</v>
      </c>
      <c r="F5">
        <v>28.1</v>
      </c>
      <c r="G5">
        <v>0.16700000000000001</v>
      </c>
      <c r="H5">
        <v>21</v>
      </c>
      <c r="I5">
        <v>0</v>
      </c>
    </row>
    <row r="6" spans="1:9" x14ac:dyDescent="0.3">
      <c r="A6">
        <v>0</v>
      </c>
      <c r="B6">
        <v>137</v>
      </c>
      <c r="C6">
        <v>40</v>
      </c>
      <c r="D6">
        <v>35</v>
      </c>
      <c r="E6">
        <v>168</v>
      </c>
      <c r="F6">
        <v>43.1</v>
      </c>
      <c r="G6">
        <v>2.2879999999999998</v>
      </c>
      <c r="H6">
        <v>33</v>
      </c>
      <c r="I6">
        <v>1</v>
      </c>
    </row>
    <row r="7" spans="1:9" x14ac:dyDescent="0.3">
      <c r="A7">
        <v>5</v>
      </c>
      <c r="B7">
        <v>116</v>
      </c>
      <c r="C7">
        <v>74</v>
      </c>
      <c r="D7">
        <v>0</v>
      </c>
      <c r="E7">
        <v>0</v>
      </c>
      <c r="F7">
        <v>25.6</v>
      </c>
      <c r="G7">
        <v>0.20100000000000001</v>
      </c>
      <c r="H7">
        <v>30</v>
      </c>
      <c r="I7">
        <v>0</v>
      </c>
    </row>
    <row r="8" spans="1:9" x14ac:dyDescent="0.3">
      <c r="A8">
        <v>3</v>
      </c>
      <c r="B8">
        <v>78</v>
      </c>
      <c r="C8">
        <v>50</v>
      </c>
      <c r="D8">
        <v>32</v>
      </c>
      <c r="E8">
        <v>88</v>
      </c>
      <c r="F8">
        <v>31</v>
      </c>
      <c r="G8">
        <v>0.248</v>
      </c>
      <c r="H8">
        <v>26</v>
      </c>
      <c r="I8">
        <v>1</v>
      </c>
    </row>
    <row r="9" spans="1:9" x14ac:dyDescent="0.3">
      <c r="A9">
        <v>10</v>
      </c>
      <c r="B9">
        <v>115</v>
      </c>
      <c r="C9">
        <v>0</v>
      </c>
      <c r="D9">
        <v>0</v>
      </c>
      <c r="E9">
        <v>0</v>
      </c>
      <c r="F9">
        <v>35.299999999999997</v>
      </c>
      <c r="G9">
        <v>0.13400000000000001</v>
      </c>
      <c r="H9">
        <v>29</v>
      </c>
      <c r="I9">
        <v>0</v>
      </c>
    </row>
    <row r="10" spans="1:9" x14ac:dyDescent="0.3">
      <c r="A10">
        <v>2</v>
      </c>
      <c r="B10">
        <v>197</v>
      </c>
      <c r="C10">
        <v>70</v>
      </c>
      <c r="D10">
        <v>45</v>
      </c>
      <c r="E10">
        <v>543</v>
      </c>
      <c r="F10">
        <v>30.5</v>
      </c>
      <c r="G10">
        <v>0.158</v>
      </c>
      <c r="H10">
        <v>53</v>
      </c>
      <c r="I10">
        <v>1</v>
      </c>
    </row>
    <row r="11" spans="1:9" x14ac:dyDescent="0.3">
      <c r="A11">
        <v>8</v>
      </c>
      <c r="B11">
        <v>125</v>
      </c>
      <c r="C11">
        <v>96</v>
      </c>
      <c r="D11">
        <v>0</v>
      </c>
      <c r="E11">
        <v>0</v>
      </c>
      <c r="F11">
        <v>0</v>
      </c>
      <c r="G11">
        <v>0.23200000000000001</v>
      </c>
      <c r="H11">
        <v>54</v>
      </c>
      <c r="I11">
        <v>1</v>
      </c>
    </row>
    <row r="12" spans="1:9" x14ac:dyDescent="0.3">
      <c r="A12">
        <v>4</v>
      </c>
      <c r="B12">
        <v>110</v>
      </c>
      <c r="C12">
        <v>92</v>
      </c>
      <c r="D12">
        <v>0</v>
      </c>
      <c r="E12">
        <v>0</v>
      </c>
      <c r="F12">
        <v>37.6</v>
      </c>
      <c r="G12">
        <v>0.191</v>
      </c>
      <c r="H12">
        <v>30</v>
      </c>
      <c r="I12">
        <v>0</v>
      </c>
    </row>
    <row r="13" spans="1:9" x14ac:dyDescent="0.3">
      <c r="A13">
        <v>10</v>
      </c>
      <c r="B13">
        <v>168</v>
      </c>
      <c r="C13">
        <v>74</v>
      </c>
      <c r="D13">
        <v>0</v>
      </c>
      <c r="E13">
        <v>0</v>
      </c>
      <c r="F13">
        <v>38</v>
      </c>
      <c r="G13">
        <v>0.53700000000000003</v>
      </c>
      <c r="H13">
        <v>34</v>
      </c>
      <c r="I13">
        <v>1</v>
      </c>
    </row>
    <row r="14" spans="1:9" x14ac:dyDescent="0.3">
      <c r="A14">
        <v>10</v>
      </c>
      <c r="B14">
        <v>139</v>
      </c>
      <c r="C14">
        <v>80</v>
      </c>
      <c r="D14">
        <v>0</v>
      </c>
      <c r="E14">
        <v>0</v>
      </c>
      <c r="F14">
        <v>27.1</v>
      </c>
      <c r="G14">
        <v>1.4410000000000001</v>
      </c>
      <c r="H14">
        <v>57</v>
      </c>
      <c r="I14">
        <v>0</v>
      </c>
    </row>
    <row r="15" spans="1:9" x14ac:dyDescent="0.3">
      <c r="A15">
        <v>1</v>
      </c>
      <c r="B15">
        <v>189</v>
      </c>
      <c r="C15">
        <v>60</v>
      </c>
      <c r="D15">
        <v>23</v>
      </c>
      <c r="E15">
        <v>846</v>
      </c>
      <c r="F15">
        <v>30.1</v>
      </c>
      <c r="G15">
        <v>0.39800000000000002</v>
      </c>
      <c r="H15">
        <v>59</v>
      </c>
      <c r="I15">
        <v>1</v>
      </c>
    </row>
    <row r="16" spans="1:9" x14ac:dyDescent="0.3">
      <c r="A16">
        <v>5</v>
      </c>
      <c r="B16">
        <v>166</v>
      </c>
      <c r="C16">
        <v>72</v>
      </c>
      <c r="D16">
        <v>19</v>
      </c>
      <c r="E16">
        <v>175</v>
      </c>
      <c r="F16">
        <v>25.8</v>
      </c>
      <c r="G16">
        <v>0.58699999999999997</v>
      </c>
      <c r="H16">
        <v>51</v>
      </c>
      <c r="I16">
        <v>1</v>
      </c>
    </row>
    <row r="17" spans="1:9" x14ac:dyDescent="0.3">
      <c r="A17">
        <v>7</v>
      </c>
      <c r="B17">
        <v>100</v>
      </c>
      <c r="C17">
        <v>0</v>
      </c>
      <c r="D17">
        <v>0</v>
      </c>
      <c r="E17">
        <v>0</v>
      </c>
      <c r="F17">
        <v>30</v>
      </c>
      <c r="G17">
        <v>0.48399999999999999</v>
      </c>
      <c r="H17">
        <v>32</v>
      </c>
      <c r="I17">
        <v>1</v>
      </c>
    </row>
    <row r="18" spans="1:9" x14ac:dyDescent="0.3">
      <c r="A18">
        <v>0</v>
      </c>
      <c r="B18">
        <v>118</v>
      </c>
      <c r="C18">
        <v>84</v>
      </c>
      <c r="D18">
        <v>47</v>
      </c>
      <c r="E18">
        <v>230</v>
      </c>
      <c r="F18">
        <v>45.8</v>
      </c>
      <c r="G18">
        <v>0.55100000000000005</v>
      </c>
      <c r="H18">
        <v>31</v>
      </c>
      <c r="I18">
        <v>1</v>
      </c>
    </row>
    <row r="19" spans="1:9" x14ac:dyDescent="0.3">
      <c r="A19">
        <v>7</v>
      </c>
      <c r="B19">
        <v>107</v>
      </c>
      <c r="C19">
        <v>74</v>
      </c>
      <c r="D19">
        <v>0</v>
      </c>
      <c r="E19">
        <v>0</v>
      </c>
      <c r="F19">
        <v>29.6</v>
      </c>
      <c r="G19">
        <v>0.254</v>
      </c>
      <c r="H19">
        <v>31</v>
      </c>
      <c r="I19">
        <v>1</v>
      </c>
    </row>
    <row r="20" spans="1:9" x14ac:dyDescent="0.3">
      <c r="A20">
        <v>1</v>
      </c>
      <c r="B20">
        <v>103</v>
      </c>
      <c r="C20">
        <v>30</v>
      </c>
      <c r="D20">
        <v>38</v>
      </c>
      <c r="E20">
        <v>83</v>
      </c>
      <c r="F20">
        <v>43.3</v>
      </c>
      <c r="G20">
        <v>0.183</v>
      </c>
      <c r="H20">
        <v>33</v>
      </c>
      <c r="I20">
        <v>0</v>
      </c>
    </row>
    <row r="21" spans="1:9" x14ac:dyDescent="0.3">
      <c r="A21">
        <v>1</v>
      </c>
      <c r="B21">
        <v>115</v>
      </c>
      <c r="C21">
        <v>70</v>
      </c>
      <c r="D21">
        <v>30</v>
      </c>
      <c r="E21">
        <v>96</v>
      </c>
      <c r="F21">
        <v>34.6</v>
      </c>
      <c r="G21">
        <v>0.52900000000000003</v>
      </c>
      <c r="H21">
        <v>32</v>
      </c>
      <c r="I21">
        <v>1</v>
      </c>
    </row>
    <row r="22" spans="1:9" x14ac:dyDescent="0.3">
      <c r="A22">
        <v>3</v>
      </c>
      <c r="B22">
        <v>126</v>
      </c>
      <c r="C22">
        <v>88</v>
      </c>
      <c r="D22">
        <v>41</v>
      </c>
      <c r="E22">
        <v>235</v>
      </c>
      <c r="F22">
        <v>39.299999999999997</v>
      </c>
      <c r="G22">
        <v>0.70399999999999996</v>
      </c>
      <c r="H22">
        <v>27</v>
      </c>
      <c r="I22">
        <v>0</v>
      </c>
    </row>
    <row r="23" spans="1:9" x14ac:dyDescent="0.3">
      <c r="A23">
        <v>8</v>
      </c>
      <c r="B23">
        <v>99</v>
      </c>
      <c r="C23">
        <v>84</v>
      </c>
      <c r="D23">
        <v>0</v>
      </c>
      <c r="E23">
        <v>0</v>
      </c>
      <c r="F23">
        <v>35.4</v>
      </c>
      <c r="G23">
        <v>0.38800000000000001</v>
      </c>
      <c r="H23">
        <v>50</v>
      </c>
      <c r="I23">
        <v>0</v>
      </c>
    </row>
    <row r="24" spans="1:9" x14ac:dyDescent="0.3">
      <c r="A24">
        <v>7</v>
      </c>
      <c r="B24">
        <v>196</v>
      </c>
      <c r="C24">
        <v>90</v>
      </c>
      <c r="D24">
        <v>0</v>
      </c>
      <c r="E24">
        <v>0</v>
      </c>
      <c r="F24">
        <v>39.799999999999997</v>
      </c>
      <c r="G24">
        <v>0.45100000000000001</v>
      </c>
      <c r="H24">
        <v>41</v>
      </c>
      <c r="I24">
        <v>1</v>
      </c>
    </row>
    <row r="25" spans="1:9" x14ac:dyDescent="0.3">
      <c r="A25">
        <v>9</v>
      </c>
      <c r="B25">
        <v>119</v>
      </c>
      <c r="C25">
        <v>80</v>
      </c>
      <c r="D25">
        <v>35</v>
      </c>
      <c r="E25">
        <v>0</v>
      </c>
      <c r="F25">
        <v>29</v>
      </c>
      <c r="G25">
        <v>0.26300000000000001</v>
      </c>
      <c r="H25">
        <v>29</v>
      </c>
      <c r="I25">
        <v>1</v>
      </c>
    </row>
    <row r="26" spans="1:9" x14ac:dyDescent="0.3">
      <c r="A26">
        <v>11</v>
      </c>
      <c r="B26">
        <v>143</v>
      </c>
      <c r="C26">
        <v>94</v>
      </c>
      <c r="D26">
        <v>33</v>
      </c>
      <c r="E26">
        <v>146</v>
      </c>
      <c r="F26">
        <v>36.6</v>
      </c>
      <c r="G26">
        <v>0.254</v>
      </c>
      <c r="H26">
        <v>51</v>
      </c>
      <c r="I26">
        <v>1</v>
      </c>
    </row>
    <row r="27" spans="1:9" x14ac:dyDescent="0.3">
      <c r="A27">
        <v>10</v>
      </c>
      <c r="B27">
        <v>125</v>
      </c>
      <c r="C27">
        <v>70</v>
      </c>
      <c r="D27">
        <v>26</v>
      </c>
      <c r="E27">
        <v>115</v>
      </c>
      <c r="F27">
        <v>31.1</v>
      </c>
      <c r="G27">
        <v>0.20499999999999999</v>
      </c>
      <c r="H27">
        <v>41</v>
      </c>
      <c r="I27">
        <v>1</v>
      </c>
    </row>
    <row r="28" spans="1:9" x14ac:dyDescent="0.3">
      <c r="A28">
        <v>7</v>
      </c>
      <c r="B28">
        <v>147</v>
      </c>
      <c r="C28">
        <v>76</v>
      </c>
      <c r="D28">
        <v>0</v>
      </c>
      <c r="E28">
        <v>0</v>
      </c>
      <c r="F28">
        <v>39.4</v>
      </c>
      <c r="G28">
        <v>0.25700000000000001</v>
      </c>
      <c r="H28">
        <v>43</v>
      </c>
      <c r="I28">
        <v>1</v>
      </c>
    </row>
    <row r="29" spans="1:9" x14ac:dyDescent="0.3">
      <c r="A29">
        <v>1</v>
      </c>
      <c r="B29">
        <v>97</v>
      </c>
      <c r="C29">
        <v>66</v>
      </c>
      <c r="D29">
        <v>15</v>
      </c>
      <c r="E29">
        <v>140</v>
      </c>
      <c r="F29">
        <v>23.2</v>
      </c>
      <c r="G29">
        <v>0.48699999999999999</v>
      </c>
      <c r="H29">
        <v>22</v>
      </c>
      <c r="I29">
        <v>0</v>
      </c>
    </row>
    <row r="30" spans="1:9" x14ac:dyDescent="0.3">
      <c r="A30">
        <v>13</v>
      </c>
      <c r="B30">
        <v>145</v>
      </c>
      <c r="C30">
        <v>82</v>
      </c>
      <c r="D30">
        <v>19</v>
      </c>
      <c r="E30">
        <v>110</v>
      </c>
      <c r="F30">
        <v>22.2</v>
      </c>
      <c r="G30">
        <v>0.245</v>
      </c>
      <c r="H30">
        <v>57</v>
      </c>
      <c r="I30">
        <v>0</v>
      </c>
    </row>
    <row r="31" spans="1:9" x14ac:dyDescent="0.3">
      <c r="A31">
        <v>5</v>
      </c>
      <c r="B31">
        <v>117</v>
      </c>
      <c r="C31">
        <v>92</v>
      </c>
      <c r="D31">
        <v>0</v>
      </c>
      <c r="E31">
        <v>0</v>
      </c>
      <c r="F31">
        <v>34.1</v>
      </c>
      <c r="G31">
        <v>0.33700000000000002</v>
      </c>
      <c r="H31">
        <v>38</v>
      </c>
      <c r="I31">
        <v>0</v>
      </c>
    </row>
    <row r="32" spans="1:9" x14ac:dyDescent="0.3">
      <c r="A32">
        <v>5</v>
      </c>
      <c r="B32">
        <v>109</v>
      </c>
      <c r="C32">
        <v>75</v>
      </c>
      <c r="D32">
        <v>26</v>
      </c>
      <c r="E32">
        <v>0</v>
      </c>
      <c r="F32">
        <v>36</v>
      </c>
      <c r="G32">
        <v>0.54600000000000004</v>
      </c>
      <c r="H32">
        <v>60</v>
      </c>
      <c r="I32">
        <v>0</v>
      </c>
    </row>
    <row r="33" spans="1:9" x14ac:dyDescent="0.3">
      <c r="A33">
        <v>3</v>
      </c>
      <c r="B33">
        <v>158</v>
      </c>
      <c r="C33">
        <v>76</v>
      </c>
      <c r="D33">
        <v>36</v>
      </c>
      <c r="E33">
        <v>245</v>
      </c>
      <c r="F33">
        <v>31.6</v>
      </c>
      <c r="G33">
        <v>0.85099999999999998</v>
      </c>
      <c r="H33">
        <v>28</v>
      </c>
      <c r="I33">
        <v>1</v>
      </c>
    </row>
    <row r="34" spans="1:9" x14ac:dyDescent="0.3">
      <c r="A34">
        <v>3</v>
      </c>
      <c r="B34">
        <v>88</v>
      </c>
      <c r="C34">
        <v>58</v>
      </c>
      <c r="D34">
        <v>11</v>
      </c>
      <c r="E34">
        <v>54</v>
      </c>
      <c r="F34">
        <v>24.8</v>
      </c>
      <c r="G34">
        <v>0.26700000000000002</v>
      </c>
      <c r="H34">
        <v>22</v>
      </c>
      <c r="I34">
        <v>0</v>
      </c>
    </row>
    <row r="35" spans="1:9" x14ac:dyDescent="0.3">
      <c r="A35">
        <v>6</v>
      </c>
      <c r="B35">
        <v>92</v>
      </c>
      <c r="C35">
        <v>92</v>
      </c>
      <c r="D35">
        <v>0</v>
      </c>
      <c r="E35">
        <v>0</v>
      </c>
      <c r="F35">
        <v>19.899999999999999</v>
      </c>
      <c r="G35">
        <v>0.188</v>
      </c>
      <c r="H35">
        <v>28</v>
      </c>
      <c r="I35">
        <v>0</v>
      </c>
    </row>
    <row r="36" spans="1:9" x14ac:dyDescent="0.3">
      <c r="A36">
        <v>10</v>
      </c>
      <c r="B36">
        <v>122</v>
      </c>
      <c r="C36">
        <v>78</v>
      </c>
      <c r="D36">
        <v>31</v>
      </c>
      <c r="E36">
        <v>0</v>
      </c>
      <c r="F36">
        <v>27.6</v>
      </c>
      <c r="G36">
        <v>0.51200000000000001</v>
      </c>
      <c r="H36">
        <v>45</v>
      </c>
      <c r="I36">
        <v>0</v>
      </c>
    </row>
    <row r="37" spans="1:9" x14ac:dyDescent="0.3">
      <c r="A37">
        <v>4</v>
      </c>
      <c r="B37">
        <v>103</v>
      </c>
      <c r="C37">
        <v>60</v>
      </c>
      <c r="D37">
        <v>33</v>
      </c>
      <c r="E37">
        <v>192</v>
      </c>
      <c r="F37">
        <v>24</v>
      </c>
      <c r="G37">
        <v>0.96599999999999997</v>
      </c>
      <c r="H37">
        <v>33</v>
      </c>
      <c r="I37">
        <v>0</v>
      </c>
    </row>
    <row r="38" spans="1:9" x14ac:dyDescent="0.3">
      <c r="A38">
        <v>11</v>
      </c>
      <c r="B38">
        <v>138</v>
      </c>
      <c r="C38">
        <v>76</v>
      </c>
      <c r="D38">
        <v>0</v>
      </c>
      <c r="E38">
        <v>0</v>
      </c>
      <c r="F38">
        <v>33.200000000000003</v>
      </c>
      <c r="G38">
        <v>0.42</v>
      </c>
      <c r="H38">
        <v>35</v>
      </c>
      <c r="I38">
        <v>0</v>
      </c>
    </row>
    <row r="39" spans="1:9" x14ac:dyDescent="0.3">
      <c r="A39">
        <v>9</v>
      </c>
      <c r="B39">
        <v>102</v>
      </c>
      <c r="C39">
        <v>76</v>
      </c>
      <c r="D39">
        <v>37</v>
      </c>
      <c r="E39">
        <v>0</v>
      </c>
      <c r="F39">
        <v>32.9</v>
      </c>
      <c r="G39">
        <v>0.66500000000000004</v>
      </c>
      <c r="H39">
        <v>46</v>
      </c>
      <c r="I39">
        <v>1</v>
      </c>
    </row>
    <row r="40" spans="1:9" x14ac:dyDescent="0.3">
      <c r="A40">
        <v>2</v>
      </c>
      <c r="B40">
        <v>90</v>
      </c>
      <c r="C40">
        <v>68</v>
      </c>
      <c r="D40">
        <v>42</v>
      </c>
      <c r="E40">
        <v>0</v>
      </c>
      <c r="F40">
        <v>38.200000000000003</v>
      </c>
      <c r="G40">
        <v>0.503</v>
      </c>
      <c r="H40">
        <v>27</v>
      </c>
      <c r="I40">
        <v>1</v>
      </c>
    </row>
    <row r="41" spans="1:9" x14ac:dyDescent="0.3">
      <c r="A41">
        <v>4</v>
      </c>
      <c r="B41">
        <v>111</v>
      </c>
      <c r="C41">
        <v>72</v>
      </c>
      <c r="D41">
        <v>47</v>
      </c>
      <c r="E41">
        <v>207</v>
      </c>
      <c r="F41">
        <v>37.1</v>
      </c>
      <c r="G41">
        <v>1.39</v>
      </c>
      <c r="H41">
        <v>56</v>
      </c>
      <c r="I41">
        <v>1</v>
      </c>
    </row>
    <row r="42" spans="1:9" x14ac:dyDescent="0.3">
      <c r="A42">
        <v>3</v>
      </c>
      <c r="B42">
        <v>180</v>
      </c>
      <c r="C42">
        <v>64</v>
      </c>
      <c r="D42">
        <v>25</v>
      </c>
      <c r="E42">
        <v>70</v>
      </c>
      <c r="F42">
        <v>34</v>
      </c>
      <c r="G42">
        <v>0.27100000000000002</v>
      </c>
      <c r="H42">
        <v>26</v>
      </c>
      <c r="I42">
        <v>0</v>
      </c>
    </row>
    <row r="43" spans="1:9" x14ac:dyDescent="0.3">
      <c r="A43">
        <v>7</v>
      </c>
      <c r="B43">
        <v>133</v>
      </c>
      <c r="C43">
        <v>84</v>
      </c>
      <c r="D43">
        <v>0</v>
      </c>
      <c r="E43">
        <v>0</v>
      </c>
      <c r="F43">
        <v>40.200000000000003</v>
      </c>
      <c r="G43">
        <v>0.69599999999999995</v>
      </c>
      <c r="H43">
        <v>37</v>
      </c>
      <c r="I43">
        <v>0</v>
      </c>
    </row>
    <row r="44" spans="1:9" x14ac:dyDescent="0.3">
      <c r="A44">
        <v>7</v>
      </c>
      <c r="B44">
        <v>106</v>
      </c>
      <c r="C44">
        <v>92</v>
      </c>
      <c r="D44">
        <v>18</v>
      </c>
      <c r="E44">
        <v>0</v>
      </c>
      <c r="F44">
        <v>22.7</v>
      </c>
      <c r="G44">
        <v>0.23499999999999999</v>
      </c>
      <c r="H44">
        <v>48</v>
      </c>
      <c r="I44">
        <v>0</v>
      </c>
    </row>
    <row r="45" spans="1:9" x14ac:dyDescent="0.3">
      <c r="A45">
        <v>9</v>
      </c>
      <c r="B45">
        <v>171</v>
      </c>
      <c r="C45">
        <v>110</v>
      </c>
      <c r="D45">
        <v>24</v>
      </c>
      <c r="E45">
        <v>240</v>
      </c>
      <c r="F45">
        <v>45.4</v>
      </c>
      <c r="G45">
        <v>0.72099999999999997</v>
      </c>
      <c r="H45">
        <v>54</v>
      </c>
      <c r="I45">
        <v>1</v>
      </c>
    </row>
    <row r="46" spans="1:9" x14ac:dyDescent="0.3">
      <c r="A46">
        <v>7</v>
      </c>
      <c r="B46">
        <v>159</v>
      </c>
      <c r="C46">
        <v>64</v>
      </c>
      <c r="D46">
        <v>0</v>
      </c>
      <c r="E46">
        <v>0</v>
      </c>
      <c r="F46">
        <v>27.4</v>
      </c>
      <c r="G46">
        <v>0.29399999999999998</v>
      </c>
      <c r="H46">
        <v>40</v>
      </c>
      <c r="I46">
        <v>0</v>
      </c>
    </row>
    <row r="47" spans="1:9" x14ac:dyDescent="0.3">
      <c r="A47">
        <v>0</v>
      </c>
      <c r="B47">
        <v>180</v>
      </c>
      <c r="C47">
        <v>66</v>
      </c>
      <c r="D47">
        <v>39</v>
      </c>
      <c r="E47">
        <v>0</v>
      </c>
      <c r="F47">
        <v>42</v>
      </c>
      <c r="G47">
        <v>1.893</v>
      </c>
      <c r="H47">
        <v>25</v>
      </c>
      <c r="I47">
        <v>1</v>
      </c>
    </row>
    <row r="48" spans="1:9" x14ac:dyDescent="0.3">
      <c r="A48">
        <v>1</v>
      </c>
      <c r="B48">
        <v>146</v>
      </c>
      <c r="C48">
        <v>56</v>
      </c>
      <c r="D48">
        <v>0</v>
      </c>
      <c r="E48">
        <v>0</v>
      </c>
      <c r="F48">
        <v>29.7</v>
      </c>
      <c r="G48">
        <v>0.56399999999999995</v>
      </c>
      <c r="H48">
        <v>29</v>
      </c>
      <c r="I48">
        <v>0</v>
      </c>
    </row>
    <row r="49" spans="1:9" x14ac:dyDescent="0.3">
      <c r="A49">
        <v>2</v>
      </c>
      <c r="B49">
        <v>71</v>
      </c>
      <c r="C49">
        <v>70</v>
      </c>
      <c r="D49">
        <v>27</v>
      </c>
      <c r="E49">
        <v>0</v>
      </c>
      <c r="F49">
        <v>28</v>
      </c>
      <c r="G49">
        <v>0.58599999999999997</v>
      </c>
      <c r="H49">
        <v>22</v>
      </c>
      <c r="I49">
        <v>0</v>
      </c>
    </row>
    <row r="50" spans="1:9" x14ac:dyDescent="0.3">
      <c r="A50">
        <v>7</v>
      </c>
      <c r="B50">
        <v>103</v>
      </c>
      <c r="C50">
        <v>66</v>
      </c>
      <c r="D50">
        <v>32</v>
      </c>
      <c r="E50">
        <v>0</v>
      </c>
      <c r="F50">
        <v>39.1</v>
      </c>
      <c r="G50">
        <v>0.34399999999999997</v>
      </c>
      <c r="H50">
        <v>31</v>
      </c>
      <c r="I50">
        <v>1</v>
      </c>
    </row>
    <row r="51" spans="1:9" x14ac:dyDescent="0.3">
      <c r="A51">
        <v>7</v>
      </c>
      <c r="B51">
        <v>105</v>
      </c>
      <c r="C51">
        <v>0</v>
      </c>
      <c r="D51">
        <v>0</v>
      </c>
      <c r="E51">
        <v>0</v>
      </c>
      <c r="F51">
        <v>0</v>
      </c>
      <c r="G51">
        <v>0.30499999999999999</v>
      </c>
      <c r="H51">
        <v>24</v>
      </c>
      <c r="I51">
        <v>0</v>
      </c>
    </row>
    <row r="52" spans="1:9" x14ac:dyDescent="0.3">
      <c r="A52">
        <v>1</v>
      </c>
      <c r="B52">
        <v>103</v>
      </c>
      <c r="C52">
        <v>80</v>
      </c>
      <c r="D52">
        <v>11</v>
      </c>
      <c r="E52">
        <v>82</v>
      </c>
      <c r="F52">
        <v>19.399999999999999</v>
      </c>
      <c r="G52">
        <v>0.49099999999999999</v>
      </c>
      <c r="H52">
        <v>22</v>
      </c>
      <c r="I52">
        <v>0</v>
      </c>
    </row>
    <row r="53" spans="1:9" x14ac:dyDescent="0.3">
      <c r="A53">
        <v>1</v>
      </c>
      <c r="B53">
        <v>101</v>
      </c>
      <c r="C53">
        <v>50</v>
      </c>
      <c r="D53">
        <v>15</v>
      </c>
      <c r="E53">
        <v>36</v>
      </c>
      <c r="F53">
        <v>24.2</v>
      </c>
      <c r="G53">
        <v>0.52600000000000002</v>
      </c>
      <c r="H53">
        <v>26</v>
      </c>
      <c r="I53">
        <v>0</v>
      </c>
    </row>
    <row r="54" spans="1:9" x14ac:dyDescent="0.3">
      <c r="A54">
        <v>5</v>
      </c>
      <c r="B54">
        <v>88</v>
      </c>
      <c r="C54">
        <v>66</v>
      </c>
      <c r="D54">
        <v>21</v>
      </c>
      <c r="E54">
        <v>23</v>
      </c>
      <c r="F54">
        <v>24.4</v>
      </c>
      <c r="G54">
        <v>0.34200000000000003</v>
      </c>
      <c r="H54">
        <v>30</v>
      </c>
      <c r="I54">
        <v>0</v>
      </c>
    </row>
    <row r="55" spans="1:9" x14ac:dyDescent="0.3">
      <c r="A55">
        <v>8</v>
      </c>
      <c r="B55">
        <v>176</v>
      </c>
      <c r="C55">
        <v>90</v>
      </c>
      <c r="D55">
        <v>34</v>
      </c>
      <c r="E55">
        <v>300</v>
      </c>
      <c r="F55">
        <v>33.700000000000003</v>
      </c>
      <c r="G55">
        <v>0.46700000000000003</v>
      </c>
      <c r="H55">
        <v>58</v>
      </c>
      <c r="I55">
        <v>1</v>
      </c>
    </row>
    <row r="56" spans="1:9" x14ac:dyDescent="0.3">
      <c r="A56">
        <v>7</v>
      </c>
      <c r="B56">
        <v>150</v>
      </c>
      <c r="C56">
        <v>66</v>
      </c>
      <c r="D56">
        <v>42</v>
      </c>
      <c r="E56">
        <v>342</v>
      </c>
      <c r="F56">
        <v>34.700000000000003</v>
      </c>
      <c r="G56">
        <v>0.71799999999999997</v>
      </c>
      <c r="H56">
        <v>42</v>
      </c>
      <c r="I56">
        <v>0</v>
      </c>
    </row>
    <row r="57" spans="1:9" x14ac:dyDescent="0.3">
      <c r="A57">
        <v>1</v>
      </c>
      <c r="B57">
        <v>73</v>
      </c>
      <c r="C57">
        <v>50</v>
      </c>
      <c r="D57">
        <v>10</v>
      </c>
      <c r="E57">
        <v>0</v>
      </c>
      <c r="F57">
        <v>23</v>
      </c>
      <c r="G57">
        <v>0.248</v>
      </c>
      <c r="H57">
        <v>21</v>
      </c>
      <c r="I57">
        <v>0</v>
      </c>
    </row>
    <row r="58" spans="1:9" x14ac:dyDescent="0.3">
      <c r="A58">
        <v>7</v>
      </c>
      <c r="B58">
        <v>187</v>
      </c>
      <c r="C58">
        <v>68</v>
      </c>
      <c r="D58">
        <v>39</v>
      </c>
      <c r="E58">
        <v>304</v>
      </c>
      <c r="F58">
        <v>37.700000000000003</v>
      </c>
      <c r="G58">
        <v>0.254</v>
      </c>
      <c r="H58">
        <v>41</v>
      </c>
      <c r="I58">
        <v>1</v>
      </c>
    </row>
    <row r="59" spans="1:9" x14ac:dyDescent="0.3">
      <c r="A59">
        <v>0</v>
      </c>
      <c r="B59">
        <v>100</v>
      </c>
      <c r="C59">
        <v>88</v>
      </c>
      <c r="D59">
        <v>60</v>
      </c>
      <c r="E59">
        <v>110</v>
      </c>
      <c r="F59">
        <v>46.8</v>
      </c>
      <c r="G59">
        <v>0.96199999999999997</v>
      </c>
      <c r="H59">
        <v>31</v>
      </c>
      <c r="I59">
        <v>0</v>
      </c>
    </row>
    <row r="60" spans="1:9" x14ac:dyDescent="0.3">
      <c r="A60">
        <v>0</v>
      </c>
      <c r="B60">
        <v>146</v>
      </c>
      <c r="C60">
        <v>82</v>
      </c>
      <c r="D60">
        <v>0</v>
      </c>
      <c r="E60">
        <v>0</v>
      </c>
      <c r="F60">
        <v>40.5</v>
      </c>
      <c r="G60">
        <v>1.7809999999999999</v>
      </c>
      <c r="H60">
        <v>44</v>
      </c>
      <c r="I60">
        <v>0</v>
      </c>
    </row>
    <row r="61" spans="1:9" x14ac:dyDescent="0.3">
      <c r="A61">
        <v>0</v>
      </c>
      <c r="B61">
        <v>105</v>
      </c>
      <c r="C61">
        <v>64</v>
      </c>
      <c r="D61">
        <v>41</v>
      </c>
      <c r="E61">
        <v>142</v>
      </c>
      <c r="F61">
        <v>41.5</v>
      </c>
      <c r="G61">
        <v>0.17299999999999999</v>
      </c>
      <c r="H61">
        <v>22</v>
      </c>
      <c r="I61">
        <v>0</v>
      </c>
    </row>
    <row r="62" spans="1:9" x14ac:dyDescent="0.3">
      <c r="A62">
        <v>2</v>
      </c>
      <c r="B62">
        <v>84</v>
      </c>
      <c r="C62">
        <v>0</v>
      </c>
      <c r="D62">
        <v>0</v>
      </c>
      <c r="E62">
        <v>0</v>
      </c>
      <c r="F62">
        <v>0</v>
      </c>
      <c r="G62">
        <v>0.30399999999999999</v>
      </c>
      <c r="H62">
        <v>21</v>
      </c>
      <c r="I62">
        <v>0</v>
      </c>
    </row>
    <row r="63" spans="1:9" x14ac:dyDescent="0.3">
      <c r="A63">
        <v>8</v>
      </c>
      <c r="B63">
        <v>133</v>
      </c>
      <c r="C63">
        <v>72</v>
      </c>
      <c r="D63">
        <v>0</v>
      </c>
      <c r="E63">
        <v>0</v>
      </c>
      <c r="F63">
        <v>32.9</v>
      </c>
      <c r="G63">
        <v>0.27</v>
      </c>
      <c r="H63">
        <v>39</v>
      </c>
      <c r="I63">
        <v>1</v>
      </c>
    </row>
    <row r="64" spans="1:9" x14ac:dyDescent="0.3">
      <c r="A64">
        <v>5</v>
      </c>
      <c r="B64">
        <v>44</v>
      </c>
      <c r="C64">
        <v>62</v>
      </c>
      <c r="D64">
        <v>0</v>
      </c>
      <c r="E64">
        <v>0</v>
      </c>
      <c r="F64">
        <v>25</v>
      </c>
      <c r="G64">
        <v>0.58699999999999997</v>
      </c>
      <c r="H64">
        <v>36</v>
      </c>
      <c r="I64">
        <v>0</v>
      </c>
    </row>
    <row r="65" spans="1:9" x14ac:dyDescent="0.3">
      <c r="A65">
        <v>2</v>
      </c>
      <c r="B65">
        <v>141</v>
      </c>
      <c r="C65">
        <v>58</v>
      </c>
      <c r="D65">
        <v>34</v>
      </c>
      <c r="E65">
        <v>128</v>
      </c>
      <c r="F65">
        <v>25.4</v>
      </c>
      <c r="G65">
        <v>0.69899999999999995</v>
      </c>
      <c r="H65">
        <v>24</v>
      </c>
      <c r="I65">
        <v>0</v>
      </c>
    </row>
    <row r="66" spans="1:9" x14ac:dyDescent="0.3">
      <c r="A66">
        <v>7</v>
      </c>
      <c r="B66">
        <v>114</v>
      </c>
      <c r="C66">
        <v>66</v>
      </c>
      <c r="D66">
        <v>0</v>
      </c>
      <c r="E66">
        <v>0</v>
      </c>
      <c r="F66">
        <v>32.799999999999997</v>
      </c>
      <c r="G66">
        <v>0.25800000000000001</v>
      </c>
      <c r="H66">
        <v>42</v>
      </c>
      <c r="I66">
        <v>1</v>
      </c>
    </row>
    <row r="67" spans="1:9" x14ac:dyDescent="0.3">
      <c r="A67">
        <v>5</v>
      </c>
      <c r="B67">
        <v>99</v>
      </c>
      <c r="C67">
        <v>74</v>
      </c>
      <c r="D67">
        <v>27</v>
      </c>
      <c r="E67">
        <v>0</v>
      </c>
      <c r="F67">
        <v>29</v>
      </c>
      <c r="G67">
        <v>0.20300000000000001</v>
      </c>
      <c r="H67">
        <v>32</v>
      </c>
      <c r="I67">
        <v>0</v>
      </c>
    </row>
    <row r="68" spans="1:9" x14ac:dyDescent="0.3">
      <c r="A68">
        <v>0</v>
      </c>
      <c r="B68">
        <v>109</v>
      </c>
      <c r="C68">
        <v>88</v>
      </c>
      <c r="D68">
        <v>30</v>
      </c>
      <c r="E68">
        <v>0</v>
      </c>
      <c r="F68">
        <v>32.5</v>
      </c>
      <c r="G68">
        <v>0.85499999999999998</v>
      </c>
      <c r="H68">
        <v>38</v>
      </c>
      <c r="I68">
        <v>1</v>
      </c>
    </row>
    <row r="69" spans="1:9" x14ac:dyDescent="0.3">
      <c r="A69">
        <v>2</v>
      </c>
      <c r="B69">
        <v>109</v>
      </c>
      <c r="C69">
        <v>92</v>
      </c>
      <c r="D69">
        <v>0</v>
      </c>
      <c r="E69">
        <v>0</v>
      </c>
      <c r="F69">
        <v>42.7</v>
      </c>
      <c r="G69">
        <v>0.84499999999999997</v>
      </c>
      <c r="H69">
        <v>54</v>
      </c>
      <c r="I69">
        <v>0</v>
      </c>
    </row>
    <row r="70" spans="1:9" x14ac:dyDescent="0.3">
      <c r="A70">
        <v>1</v>
      </c>
      <c r="B70">
        <v>95</v>
      </c>
      <c r="C70">
        <v>66</v>
      </c>
      <c r="D70">
        <v>13</v>
      </c>
      <c r="E70">
        <v>38</v>
      </c>
      <c r="F70">
        <v>19.600000000000001</v>
      </c>
      <c r="G70">
        <v>0.33400000000000002</v>
      </c>
      <c r="H70">
        <v>25</v>
      </c>
      <c r="I70">
        <v>0</v>
      </c>
    </row>
    <row r="71" spans="1:9" x14ac:dyDescent="0.3">
      <c r="A71">
        <v>4</v>
      </c>
      <c r="B71">
        <v>146</v>
      </c>
      <c r="C71">
        <v>85</v>
      </c>
      <c r="D71">
        <v>27</v>
      </c>
      <c r="E71">
        <v>100</v>
      </c>
      <c r="F71">
        <v>28.9</v>
      </c>
      <c r="G71">
        <v>0.189</v>
      </c>
      <c r="H71">
        <v>27</v>
      </c>
      <c r="I71">
        <v>0</v>
      </c>
    </row>
    <row r="72" spans="1:9" x14ac:dyDescent="0.3">
      <c r="A72">
        <v>2</v>
      </c>
      <c r="B72">
        <v>100</v>
      </c>
      <c r="C72">
        <v>66</v>
      </c>
      <c r="D72">
        <v>20</v>
      </c>
      <c r="E72">
        <v>90</v>
      </c>
      <c r="F72">
        <v>32.9</v>
      </c>
      <c r="G72">
        <v>0.86699999999999999</v>
      </c>
      <c r="H72">
        <v>28</v>
      </c>
      <c r="I72">
        <v>1</v>
      </c>
    </row>
    <row r="73" spans="1:9" x14ac:dyDescent="0.3">
      <c r="A73">
        <v>5</v>
      </c>
      <c r="B73">
        <v>139</v>
      </c>
      <c r="C73">
        <v>64</v>
      </c>
      <c r="D73">
        <v>35</v>
      </c>
      <c r="E73">
        <v>140</v>
      </c>
      <c r="F73">
        <v>28.6</v>
      </c>
      <c r="G73">
        <v>0.41099999999999998</v>
      </c>
      <c r="H73">
        <v>26</v>
      </c>
      <c r="I73">
        <v>0</v>
      </c>
    </row>
    <row r="74" spans="1:9" x14ac:dyDescent="0.3">
      <c r="A74">
        <v>13</v>
      </c>
      <c r="B74">
        <v>126</v>
      </c>
      <c r="C74">
        <v>90</v>
      </c>
      <c r="D74">
        <v>0</v>
      </c>
      <c r="E74">
        <v>0</v>
      </c>
      <c r="F74">
        <v>43.4</v>
      </c>
      <c r="G74">
        <v>0.58299999999999996</v>
      </c>
      <c r="H74">
        <v>42</v>
      </c>
      <c r="I74">
        <v>1</v>
      </c>
    </row>
    <row r="75" spans="1:9" x14ac:dyDescent="0.3">
      <c r="A75">
        <v>4</v>
      </c>
      <c r="B75">
        <v>129</v>
      </c>
      <c r="C75">
        <v>86</v>
      </c>
      <c r="D75">
        <v>20</v>
      </c>
      <c r="E75">
        <v>270</v>
      </c>
      <c r="F75">
        <v>35.1</v>
      </c>
      <c r="G75">
        <v>0.23100000000000001</v>
      </c>
      <c r="H75">
        <v>23</v>
      </c>
      <c r="I75">
        <v>0</v>
      </c>
    </row>
    <row r="76" spans="1:9" x14ac:dyDescent="0.3">
      <c r="A76">
        <v>1</v>
      </c>
      <c r="B76">
        <v>79</v>
      </c>
      <c r="C76">
        <v>75</v>
      </c>
      <c r="D76">
        <v>30</v>
      </c>
      <c r="E76">
        <v>0</v>
      </c>
      <c r="F76">
        <v>32</v>
      </c>
      <c r="G76">
        <v>0.39600000000000002</v>
      </c>
      <c r="H76">
        <v>22</v>
      </c>
      <c r="I76">
        <v>0</v>
      </c>
    </row>
    <row r="77" spans="1:9" x14ac:dyDescent="0.3">
      <c r="A77">
        <v>1</v>
      </c>
      <c r="B77">
        <v>0</v>
      </c>
      <c r="C77">
        <v>48</v>
      </c>
      <c r="D77">
        <v>20</v>
      </c>
      <c r="E77">
        <v>0</v>
      </c>
      <c r="F77">
        <v>24.7</v>
      </c>
      <c r="G77">
        <v>0.14000000000000001</v>
      </c>
      <c r="H77">
        <v>22</v>
      </c>
      <c r="I77">
        <v>0</v>
      </c>
    </row>
    <row r="78" spans="1:9" x14ac:dyDescent="0.3">
      <c r="A78">
        <v>7</v>
      </c>
      <c r="B78">
        <v>62</v>
      </c>
      <c r="C78">
        <v>78</v>
      </c>
      <c r="D78">
        <v>0</v>
      </c>
      <c r="E78">
        <v>0</v>
      </c>
      <c r="F78">
        <v>32.6</v>
      </c>
      <c r="G78">
        <v>0.39100000000000001</v>
      </c>
      <c r="H78">
        <v>41</v>
      </c>
      <c r="I78">
        <v>0</v>
      </c>
    </row>
    <row r="79" spans="1:9" x14ac:dyDescent="0.3">
      <c r="A79">
        <v>5</v>
      </c>
      <c r="B79">
        <v>95</v>
      </c>
      <c r="C79">
        <v>72</v>
      </c>
      <c r="D79">
        <v>33</v>
      </c>
      <c r="E79">
        <v>0</v>
      </c>
      <c r="F79">
        <v>37.700000000000003</v>
      </c>
      <c r="G79">
        <v>0.37</v>
      </c>
      <c r="H79">
        <v>27</v>
      </c>
      <c r="I79">
        <v>0</v>
      </c>
    </row>
    <row r="80" spans="1:9" x14ac:dyDescent="0.3">
      <c r="A80">
        <v>0</v>
      </c>
      <c r="B80">
        <v>131</v>
      </c>
      <c r="C80">
        <v>0</v>
      </c>
      <c r="D80">
        <v>0</v>
      </c>
      <c r="E80">
        <v>0</v>
      </c>
      <c r="F80">
        <v>43.2</v>
      </c>
      <c r="G80">
        <v>0.27</v>
      </c>
      <c r="H80">
        <v>26</v>
      </c>
      <c r="I80">
        <v>1</v>
      </c>
    </row>
    <row r="81" spans="1:9" x14ac:dyDescent="0.3">
      <c r="A81">
        <v>2</v>
      </c>
      <c r="B81">
        <v>112</v>
      </c>
      <c r="C81">
        <v>66</v>
      </c>
      <c r="D81">
        <v>22</v>
      </c>
      <c r="E81">
        <v>0</v>
      </c>
      <c r="F81">
        <v>25</v>
      </c>
      <c r="G81">
        <v>0.307</v>
      </c>
      <c r="H81">
        <v>24</v>
      </c>
      <c r="I81">
        <v>0</v>
      </c>
    </row>
    <row r="82" spans="1:9" x14ac:dyDescent="0.3">
      <c r="A82">
        <v>3</v>
      </c>
      <c r="B82">
        <v>113</v>
      </c>
      <c r="C82">
        <v>44</v>
      </c>
      <c r="D82">
        <v>13</v>
      </c>
      <c r="E82">
        <v>0</v>
      </c>
      <c r="F82">
        <v>22.4</v>
      </c>
      <c r="G82">
        <v>0.14000000000000001</v>
      </c>
      <c r="H82">
        <v>22</v>
      </c>
      <c r="I82">
        <v>0</v>
      </c>
    </row>
    <row r="83" spans="1:9" x14ac:dyDescent="0.3">
      <c r="A83">
        <v>2</v>
      </c>
      <c r="B83">
        <v>74</v>
      </c>
      <c r="C83">
        <v>0</v>
      </c>
      <c r="D83">
        <v>0</v>
      </c>
      <c r="E83">
        <v>0</v>
      </c>
      <c r="F83">
        <v>0</v>
      </c>
      <c r="G83">
        <v>0.10199999999999999</v>
      </c>
      <c r="H83">
        <v>22</v>
      </c>
      <c r="I83">
        <v>0</v>
      </c>
    </row>
    <row r="84" spans="1:9" x14ac:dyDescent="0.3">
      <c r="A84">
        <v>7</v>
      </c>
      <c r="B84">
        <v>83</v>
      </c>
      <c r="C84">
        <v>78</v>
      </c>
      <c r="D84">
        <v>26</v>
      </c>
      <c r="E84">
        <v>71</v>
      </c>
      <c r="F84">
        <v>29.3</v>
      </c>
      <c r="G84">
        <v>0.76700000000000002</v>
      </c>
      <c r="H84">
        <v>36</v>
      </c>
      <c r="I84">
        <v>0</v>
      </c>
    </row>
    <row r="85" spans="1:9" x14ac:dyDescent="0.3">
      <c r="A85">
        <v>0</v>
      </c>
      <c r="B85">
        <v>101</v>
      </c>
      <c r="C85">
        <v>65</v>
      </c>
      <c r="D85">
        <v>28</v>
      </c>
      <c r="E85">
        <v>0</v>
      </c>
      <c r="F85">
        <v>24.6</v>
      </c>
      <c r="G85">
        <v>0.23699999999999999</v>
      </c>
      <c r="H85">
        <v>22</v>
      </c>
      <c r="I85">
        <v>0</v>
      </c>
    </row>
    <row r="86" spans="1:9" x14ac:dyDescent="0.3">
      <c r="A86">
        <v>5</v>
      </c>
      <c r="B86">
        <v>137</v>
      </c>
      <c r="C86">
        <v>108</v>
      </c>
      <c r="D86">
        <v>0</v>
      </c>
      <c r="E86">
        <v>0</v>
      </c>
      <c r="F86">
        <v>48.8</v>
      </c>
      <c r="G86">
        <v>0.22700000000000001</v>
      </c>
      <c r="H86">
        <v>37</v>
      </c>
      <c r="I86">
        <v>1</v>
      </c>
    </row>
    <row r="87" spans="1:9" x14ac:dyDescent="0.3">
      <c r="A87">
        <v>2</v>
      </c>
      <c r="B87">
        <v>110</v>
      </c>
      <c r="C87">
        <v>74</v>
      </c>
      <c r="D87">
        <v>29</v>
      </c>
      <c r="E87">
        <v>125</v>
      </c>
      <c r="F87">
        <v>32.4</v>
      </c>
      <c r="G87">
        <v>0.69799999999999995</v>
      </c>
      <c r="H87">
        <v>27</v>
      </c>
      <c r="I87">
        <v>0</v>
      </c>
    </row>
    <row r="88" spans="1:9" x14ac:dyDescent="0.3">
      <c r="A88">
        <v>13</v>
      </c>
      <c r="B88">
        <v>106</v>
      </c>
      <c r="C88">
        <v>72</v>
      </c>
      <c r="D88">
        <v>54</v>
      </c>
      <c r="E88">
        <v>0</v>
      </c>
      <c r="F88">
        <v>36.6</v>
      </c>
      <c r="G88">
        <v>0.17799999999999999</v>
      </c>
      <c r="H88">
        <v>45</v>
      </c>
      <c r="I88">
        <v>0</v>
      </c>
    </row>
    <row r="89" spans="1:9" x14ac:dyDescent="0.3">
      <c r="A89">
        <v>2</v>
      </c>
      <c r="B89">
        <v>100</v>
      </c>
      <c r="C89">
        <v>68</v>
      </c>
      <c r="D89">
        <v>25</v>
      </c>
      <c r="E89">
        <v>71</v>
      </c>
      <c r="F89">
        <v>38.5</v>
      </c>
      <c r="G89">
        <v>0.32400000000000001</v>
      </c>
      <c r="H89">
        <v>26</v>
      </c>
      <c r="I89">
        <v>0</v>
      </c>
    </row>
    <row r="90" spans="1:9" x14ac:dyDescent="0.3">
      <c r="A90">
        <v>15</v>
      </c>
      <c r="B90">
        <v>136</v>
      </c>
      <c r="C90">
        <v>70</v>
      </c>
      <c r="D90">
        <v>32</v>
      </c>
      <c r="E90">
        <v>110</v>
      </c>
      <c r="F90">
        <v>37.1</v>
      </c>
      <c r="G90">
        <v>0.153</v>
      </c>
      <c r="H90">
        <v>43</v>
      </c>
      <c r="I90">
        <v>1</v>
      </c>
    </row>
    <row r="91" spans="1:9" x14ac:dyDescent="0.3">
      <c r="A91">
        <v>1</v>
      </c>
      <c r="B91">
        <v>107</v>
      </c>
      <c r="C91">
        <v>68</v>
      </c>
      <c r="D91">
        <v>19</v>
      </c>
      <c r="E91">
        <v>0</v>
      </c>
      <c r="F91">
        <v>26.5</v>
      </c>
      <c r="G91">
        <v>0.16500000000000001</v>
      </c>
      <c r="H91">
        <v>24</v>
      </c>
      <c r="I91">
        <v>0</v>
      </c>
    </row>
    <row r="92" spans="1:9" x14ac:dyDescent="0.3">
      <c r="A92">
        <v>1</v>
      </c>
      <c r="B92">
        <v>80</v>
      </c>
      <c r="C92">
        <v>55</v>
      </c>
      <c r="D92">
        <v>0</v>
      </c>
      <c r="E92">
        <v>0</v>
      </c>
      <c r="F92">
        <v>19.100000000000001</v>
      </c>
      <c r="G92">
        <v>0.25800000000000001</v>
      </c>
      <c r="H92">
        <v>21</v>
      </c>
      <c r="I92">
        <v>0</v>
      </c>
    </row>
    <row r="93" spans="1:9" x14ac:dyDescent="0.3">
      <c r="A93">
        <v>4</v>
      </c>
      <c r="B93">
        <v>123</v>
      </c>
      <c r="C93">
        <v>80</v>
      </c>
      <c r="D93">
        <v>15</v>
      </c>
      <c r="E93">
        <v>176</v>
      </c>
      <c r="F93">
        <v>32</v>
      </c>
      <c r="G93">
        <v>0.443</v>
      </c>
      <c r="H93">
        <v>34</v>
      </c>
      <c r="I93">
        <v>0</v>
      </c>
    </row>
    <row r="94" spans="1:9" x14ac:dyDescent="0.3">
      <c r="A94">
        <v>7</v>
      </c>
      <c r="B94">
        <v>81</v>
      </c>
      <c r="C94">
        <v>78</v>
      </c>
      <c r="D94">
        <v>40</v>
      </c>
      <c r="E94">
        <v>48</v>
      </c>
      <c r="F94">
        <v>46.7</v>
      </c>
      <c r="G94">
        <v>0.26100000000000001</v>
      </c>
      <c r="H94">
        <v>42</v>
      </c>
      <c r="I94">
        <v>0</v>
      </c>
    </row>
    <row r="95" spans="1:9" x14ac:dyDescent="0.3">
      <c r="A95">
        <v>4</v>
      </c>
      <c r="B95">
        <v>134</v>
      </c>
      <c r="C95">
        <v>72</v>
      </c>
      <c r="D95">
        <v>0</v>
      </c>
      <c r="E95">
        <v>0</v>
      </c>
      <c r="F95">
        <v>23.8</v>
      </c>
      <c r="G95">
        <v>0.27700000000000002</v>
      </c>
      <c r="H95">
        <v>60</v>
      </c>
      <c r="I95">
        <v>1</v>
      </c>
    </row>
    <row r="96" spans="1:9" x14ac:dyDescent="0.3">
      <c r="A96">
        <v>2</v>
      </c>
      <c r="B96">
        <v>142</v>
      </c>
      <c r="C96">
        <v>82</v>
      </c>
      <c r="D96">
        <v>18</v>
      </c>
      <c r="E96">
        <v>64</v>
      </c>
      <c r="F96">
        <v>24.7</v>
      </c>
      <c r="G96">
        <v>0.76100000000000001</v>
      </c>
      <c r="H96">
        <v>21</v>
      </c>
      <c r="I96">
        <v>0</v>
      </c>
    </row>
    <row r="97" spans="1:9" x14ac:dyDescent="0.3">
      <c r="A97">
        <v>6</v>
      </c>
      <c r="B97">
        <v>144</v>
      </c>
      <c r="C97">
        <v>72</v>
      </c>
      <c r="D97">
        <v>27</v>
      </c>
      <c r="E97">
        <v>228</v>
      </c>
      <c r="F97">
        <v>33.9</v>
      </c>
      <c r="G97">
        <v>0.255</v>
      </c>
      <c r="H97">
        <v>40</v>
      </c>
      <c r="I97">
        <v>0</v>
      </c>
    </row>
    <row r="98" spans="1:9" x14ac:dyDescent="0.3">
      <c r="A98">
        <v>2</v>
      </c>
      <c r="B98">
        <v>92</v>
      </c>
      <c r="C98">
        <v>62</v>
      </c>
      <c r="D98">
        <v>28</v>
      </c>
      <c r="E98">
        <v>0</v>
      </c>
      <c r="F98">
        <v>31.6</v>
      </c>
      <c r="G98">
        <v>0.13</v>
      </c>
      <c r="H98">
        <v>24</v>
      </c>
      <c r="I98">
        <v>0</v>
      </c>
    </row>
    <row r="99" spans="1:9" x14ac:dyDescent="0.3">
      <c r="A99">
        <v>1</v>
      </c>
      <c r="B99">
        <v>71</v>
      </c>
      <c r="C99">
        <v>48</v>
      </c>
      <c r="D99">
        <v>18</v>
      </c>
      <c r="E99">
        <v>76</v>
      </c>
      <c r="F99">
        <v>20.399999999999999</v>
      </c>
      <c r="G99">
        <v>0.32300000000000001</v>
      </c>
      <c r="H99">
        <v>22</v>
      </c>
      <c r="I99">
        <v>0</v>
      </c>
    </row>
    <row r="100" spans="1:9" x14ac:dyDescent="0.3">
      <c r="A100">
        <v>6</v>
      </c>
      <c r="B100">
        <v>93</v>
      </c>
      <c r="C100">
        <v>50</v>
      </c>
      <c r="D100">
        <v>30</v>
      </c>
      <c r="E100">
        <v>64</v>
      </c>
      <c r="F100">
        <v>28.7</v>
      </c>
      <c r="G100">
        <v>0.35599999999999998</v>
      </c>
      <c r="H100">
        <v>23</v>
      </c>
      <c r="I100">
        <v>0</v>
      </c>
    </row>
    <row r="101" spans="1:9" x14ac:dyDescent="0.3">
      <c r="A101">
        <v>1</v>
      </c>
      <c r="B101">
        <v>122</v>
      </c>
      <c r="C101">
        <v>90</v>
      </c>
      <c r="D101">
        <v>51</v>
      </c>
      <c r="E101">
        <v>220</v>
      </c>
      <c r="F101">
        <v>49.7</v>
      </c>
      <c r="G101">
        <v>0.32500000000000001</v>
      </c>
      <c r="H101">
        <v>31</v>
      </c>
      <c r="I101">
        <v>1</v>
      </c>
    </row>
    <row r="102" spans="1:9" x14ac:dyDescent="0.3">
      <c r="A102">
        <v>1</v>
      </c>
      <c r="B102">
        <v>163</v>
      </c>
      <c r="C102">
        <v>72</v>
      </c>
      <c r="D102">
        <v>0</v>
      </c>
      <c r="E102">
        <v>0</v>
      </c>
      <c r="F102">
        <v>39</v>
      </c>
      <c r="G102">
        <v>1.222</v>
      </c>
      <c r="H102">
        <v>33</v>
      </c>
      <c r="I102">
        <v>1</v>
      </c>
    </row>
    <row r="103" spans="1:9" x14ac:dyDescent="0.3">
      <c r="A103">
        <v>1</v>
      </c>
      <c r="B103">
        <v>151</v>
      </c>
      <c r="C103">
        <v>60</v>
      </c>
      <c r="D103">
        <v>0</v>
      </c>
      <c r="E103">
        <v>0</v>
      </c>
      <c r="F103">
        <v>26.1</v>
      </c>
      <c r="G103">
        <v>0.17899999999999999</v>
      </c>
      <c r="H103">
        <v>22</v>
      </c>
      <c r="I103">
        <v>0</v>
      </c>
    </row>
    <row r="104" spans="1:9" x14ac:dyDescent="0.3">
      <c r="A104">
        <v>0</v>
      </c>
      <c r="B104">
        <v>125</v>
      </c>
      <c r="C104">
        <v>96</v>
      </c>
      <c r="D104">
        <v>0</v>
      </c>
      <c r="E104">
        <v>0</v>
      </c>
      <c r="F104">
        <v>22.5</v>
      </c>
      <c r="G104">
        <v>0.26200000000000001</v>
      </c>
      <c r="H104">
        <v>21</v>
      </c>
      <c r="I104">
        <v>0</v>
      </c>
    </row>
    <row r="105" spans="1:9" x14ac:dyDescent="0.3">
      <c r="A105">
        <v>1</v>
      </c>
      <c r="B105">
        <v>81</v>
      </c>
      <c r="C105">
        <v>72</v>
      </c>
      <c r="D105">
        <v>18</v>
      </c>
      <c r="E105">
        <v>40</v>
      </c>
      <c r="F105">
        <v>26.6</v>
      </c>
      <c r="G105">
        <v>0.28299999999999997</v>
      </c>
      <c r="H105">
        <v>24</v>
      </c>
      <c r="I105">
        <v>0</v>
      </c>
    </row>
    <row r="106" spans="1:9" x14ac:dyDescent="0.3">
      <c r="A106">
        <v>2</v>
      </c>
      <c r="B106">
        <v>85</v>
      </c>
      <c r="C106">
        <v>65</v>
      </c>
      <c r="D106">
        <v>0</v>
      </c>
      <c r="E106">
        <v>0</v>
      </c>
      <c r="F106">
        <v>39.6</v>
      </c>
      <c r="G106">
        <v>0.93</v>
      </c>
      <c r="H106">
        <v>27</v>
      </c>
      <c r="I106">
        <v>0</v>
      </c>
    </row>
    <row r="107" spans="1:9" x14ac:dyDescent="0.3">
      <c r="A107">
        <v>1</v>
      </c>
      <c r="B107">
        <v>126</v>
      </c>
      <c r="C107">
        <v>56</v>
      </c>
      <c r="D107">
        <v>29</v>
      </c>
      <c r="E107">
        <v>152</v>
      </c>
      <c r="F107">
        <v>28.7</v>
      </c>
      <c r="G107">
        <v>0.80100000000000005</v>
      </c>
      <c r="H107">
        <v>21</v>
      </c>
      <c r="I107">
        <v>0</v>
      </c>
    </row>
    <row r="108" spans="1:9" x14ac:dyDescent="0.3">
      <c r="A108">
        <v>1</v>
      </c>
      <c r="B108">
        <v>96</v>
      </c>
      <c r="C108">
        <v>122</v>
      </c>
      <c r="D108">
        <v>0</v>
      </c>
      <c r="E108">
        <v>0</v>
      </c>
      <c r="F108">
        <v>22.4</v>
      </c>
      <c r="G108">
        <v>0.20699999999999999</v>
      </c>
      <c r="H108">
        <v>27</v>
      </c>
      <c r="I108">
        <v>0</v>
      </c>
    </row>
    <row r="109" spans="1:9" x14ac:dyDescent="0.3">
      <c r="A109">
        <v>4</v>
      </c>
      <c r="B109">
        <v>144</v>
      </c>
      <c r="C109">
        <v>58</v>
      </c>
      <c r="D109">
        <v>28</v>
      </c>
      <c r="E109">
        <v>140</v>
      </c>
      <c r="F109">
        <v>29.5</v>
      </c>
      <c r="G109">
        <v>0.28699999999999998</v>
      </c>
      <c r="H109">
        <v>37</v>
      </c>
      <c r="I109">
        <v>0</v>
      </c>
    </row>
    <row r="110" spans="1:9" x14ac:dyDescent="0.3">
      <c r="A110">
        <v>3</v>
      </c>
      <c r="B110">
        <v>83</v>
      </c>
      <c r="C110">
        <v>58</v>
      </c>
      <c r="D110">
        <v>31</v>
      </c>
      <c r="E110">
        <v>18</v>
      </c>
      <c r="F110">
        <v>34.299999999999997</v>
      </c>
      <c r="G110">
        <v>0.33600000000000002</v>
      </c>
      <c r="H110">
        <v>25</v>
      </c>
      <c r="I110">
        <v>0</v>
      </c>
    </row>
    <row r="111" spans="1:9" x14ac:dyDescent="0.3">
      <c r="A111">
        <v>0</v>
      </c>
      <c r="B111">
        <v>95</v>
      </c>
      <c r="C111">
        <v>85</v>
      </c>
      <c r="D111">
        <v>25</v>
      </c>
      <c r="E111">
        <v>36</v>
      </c>
      <c r="F111">
        <v>37.4</v>
      </c>
      <c r="G111">
        <v>0.247</v>
      </c>
      <c r="H111">
        <v>24</v>
      </c>
      <c r="I111">
        <v>1</v>
      </c>
    </row>
    <row r="112" spans="1:9" x14ac:dyDescent="0.3">
      <c r="A112">
        <v>3</v>
      </c>
      <c r="B112">
        <v>171</v>
      </c>
      <c r="C112">
        <v>72</v>
      </c>
      <c r="D112">
        <v>33</v>
      </c>
      <c r="E112">
        <v>135</v>
      </c>
      <c r="F112">
        <v>33.299999999999997</v>
      </c>
      <c r="G112">
        <v>0.19900000000000001</v>
      </c>
      <c r="H112">
        <v>24</v>
      </c>
      <c r="I112">
        <v>1</v>
      </c>
    </row>
    <row r="113" spans="1:9" x14ac:dyDescent="0.3">
      <c r="A113">
        <v>8</v>
      </c>
      <c r="B113">
        <v>155</v>
      </c>
      <c r="C113">
        <v>62</v>
      </c>
      <c r="D113">
        <v>26</v>
      </c>
      <c r="E113">
        <v>495</v>
      </c>
      <c r="F113">
        <v>34</v>
      </c>
      <c r="G113">
        <v>0.54300000000000004</v>
      </c>
      <c r="H113">
        <v>46</v>
      </c>
      <c r="I113">
        <v>1</v>
      </c>
    </row>
    <row r="114" spans="1:9" x14ac:dyDescent="0.3">
      <c r="A114">
        <v>1</v>
      </c>
      <c r="B114">
        <v>89</v>
      </c>
      <c r="C114">
        <v>76</v>
      </c>
      <c r="D114">
        <v>34</v>
      </c>
      <c r="E114">
        <v>37</v>
      </c>
      <c r="F114">
        <v>31.2</v>
      </c>
      <c r="G114">
        <v>0.192</v>
      </c>
      <c r="H114">
        <v>23</v>
      </c>
      <c r="I114">
        <v>0</v>
      </c>
    </row>
    <row r="115" spans="1:9" x14ac:dyDescent="0.3">
      <c r="A115">
        <v>4</v>
      </c>
      <c r="B115">
        <v>76</v>
      </c>
      <c r="C115">
        <v>62</v>
      </c>
      <c r="D115">
        <v>0</v>
      </c>
      <c r="E115">
        <v>0</v>
      </c>
      <c r="F115">
        <v>34</v>
      </c>
      <c r="G115">
        <v>0.39100000000000001</v>
      </c>
      <c r="H115">
        <v>25</v>
      </c>
      <c r="I115">
        <v>0</v>
      </c>
    </row>
    <row r="116" spans="1:9" x14ac:dyDescent="0.3">
      <c r="A116">
        <v>7</v>
      </c>
      <c r="B116">
        <v>160</v>
      </c>
      <c r="C116">
        <v>54</v>
      </c>
      <c r="D116">
        <v>32</v>
      </c>
      <c r="E116">
        <v>175</v>
      </c>
      <c r="F116">
        <v>30.5</v>
      </c>
      <c r="G116">
        <v>0.58799999999999997</v>
      </c>
      <c r="H116">
        <v>39</v>
      </c>
      <c r="I116">
        <v>1</v>
      </c>
    </row>
    <row r="117" spans="1:9" x14ac:dyDescent="0.3">
      <c r="A117">
        <v>4</v>
      </c>
      <c r="B117">
        <v>146</v>
      </c>
      <c r="C117">
        <v>92</v>
      </c>
      <c r="D117">
        <v>0</v>
      </c>
      <c r="E117">
        <v>0</v>
      </c>
      <c r="F117">
        <v>31.2</v>
      </c>
      <c r="G117">
        <v>0.53900000000000003</v>
      </c>
      <c r="H117">
        <v>61</v>
      </c>
      <c r="I117">
        <v>1</v>
      </c>
    </row>
    <row r="118" spans="1:9" x14ac:dyDescent="0.3">
      <c r="A118">
        <v>5</v>
      </c>
      <c r="B118">
        <v>124</v>
      </c>
      <c r="C118">
        <v>74</v>
      </c>
      <c r="D118">
        <v>0</v>
      </c>
      <c r="E118">
        <v>0</v>
      </c>
      <c r="F118">
        <v>34</v>
      </c>
      <c r="G118">
        <v>0.22</v>
      </c>
      <c r="H118">
        <v>38</v>
      </c>
      <c r="I118">
        <v>1</v>
      </c>
    </row>
    <row r="119" spans="1:9" x14ac:dyDescent="0.3">
      <c r="A119">
        <v>5</v>
      </c>
      <c r="B119">
        <v>78</v>
      </c>
      <c r="C119">
        <v>48</v>
      </c>
      <c r="D119">
        <v>0</v>
      </c>
      <c r="E119">
        <v>0</v>
      </c>
      <c r="F119">
        <v>33.700000000000003</v>
      </c>
      <c r="G119">
        <v>0.65400000000000003</v>
      </c>
      <c r="H119">
        <v>25</v>
      </c>
      <c r="I119">
        <v>0</v>
      </c>
    </row>
    <row r="120" spans="1:9" x14ac:dyDescent="0.3">
      <c r="A120">
        <v>4</v>
      </c>
      <c r="B120">
        <v>97</v>
      </c>
      <c r="C120">
        <v>60</v>
      </c>
      <c r="D120">
        <v>23</v>
      </c>
      <c r="E120">
        <v>0</v>
      </c>
      <c r="F120">
        <v>28.2</v>
      </c>
      <c r="G120">
        <v>0.443</v>
      </c>
      <c r="H120">
        <v>22</v>
      </c>
      <c r="I120">
        <v>0</v>
      </c>
    </row>
    <row r="121" spans="1:9" x14ac:dyDescent="0.3">
      <c r="A121">
        <v>4</v>
      </c>
      <c r="B121">
        <v>99</v>
      </c>
      <c r="C121">
        <v>76</v>
      </c>
      <c r="D121">
        <v>15</v>
      </c>
      <c r="E121">
        <v>51</v>
      </c>
      <c r="F121">
        <v>23.2</v>
      </c>
      <c r="G121">
        <v>0.223</v>
      </c>
      <c r="H121">
        <v>21</v>
      </c>
      <c r="I121">
        <v>0</v>
      </c>
    </row>
    <row r="122" spans="1:9" x14ac:dyDescent="0.3">
      <c r="A122">
        <v>0</v>
      </c>
      <c r="B122">
        <v>162</v>
      </c>
      <c r="C122">
        <v>76</v>
      </c>
      <c r="D122">
        <v>56</v>
      </c>
      <c r="E122">
        <v>100</v>
      </c>
      <c r="F122">
        <v>53.2</v>
      </c>
      <c r="G122">
        <v>0.75900000000000001</v>
      </c>
      <c r="H122">
        <v>25</v>
      </c>
      <c r="I122">
        <v>1</v>
      </c>
    </row>
    <row r="123" spans="1:9" x14ac:dyDescent="0.3">
      <c r="A123">
        <v>6</v>
      </c>
      <c r="B123">
        <v>111</v>
      </c>
      <c r="C123">
        <v>64</v>
      </c>
      <c r="D123">
        <v>39</v>
      </c>
      <c r="E123">
        <v>0</v>
      </c>
      <c r="F123">
        <v>34.200000000000003</v>
      </c>
      <c r="G123">
        <v>0.26</v>
      </c>
      <c r="H123">
        <v>24</v>
      </c>
      <c r="I123">
        <v>0</v>
      </c>
    </row>
    <row r="124" spans="1:9" x14ac:dyDescent="0.3">
      <c r="A124">
        <v>2</v>
      </c>
      <c r="B124">
        <v>107</v>
      </c>
      <c r="C124">
        <v>74</v>
      </c>
      <c r="D124">
        <v>30</v>
      </c>
      <c r="E124">
        <v>100</v>
      </c>
      <c r="F124">
        <v>33.6</v>
      </c>
      <c r="G124">
        <v>0.40400000000000003</v>
      </c>
      <c r="H124">
        <v>23</v>
      </c>
      <c r="I124">
        <v>0</v>
      </c>
    </row>
    <row r="125" spans="1:9" x14ac:dyDescent="0.3">
      <c r="A125">
        <v>5</v>
      </c>
      <c r="B125">
        <v>132</v>
      </c>
      <c r="C125">
        <v>80</v>
      </c>
      <c r="D125">
        <v>0</v>
      </c>
      <c r="E125">
        <v>0</v>
      </c>
      <c r="F125">
        <v>26.8</v>
      </c>
      <c r="G125">
        <v>0.186</v>
      </c>
      <c r="H125">
        <v>69</v>
      </c>
      <c r="I125">
        <v>0</v>
      </c>
    </row>
    <row r="126" spans="1:9" x14ac:dyDescent="0.3">
      <c r="A126">
        <v>0</v>
      </c>
      <c r="B126">
        <v>113</v>
      </c>
      <c r="C126">
        <v>76</v>
      </c>
      <c r="D126">
        <v>0</v>
      </c>
      <c r="E126">
        <v>0</v>
      </c>
      <c r="F126">
        <v>33.299999999999997</v>
      </c>
      <c r="G126">
        <v>0.27800000000000002</v>
      </c>
      <c r="H126">
        <v>23</v>
      </c>
      <c r="I126">
        <v>1</v>
      </c>
    </row>
    <row r="127" spans="1:9" x14ac:dyDescent="0.3">
      <c r="A127">
        <v>1</v>
      </c>
      <c r="B127">
        <v>88</v>
      </c>
      <c r="C127">
        <v>30</v>
      </c>
      <c r="D127">
        <v>42</v>
      </c>
      <c r="E127">
        <v>99</v>
      </c>
      <c r="F127">
        <v>55</v>
      </c>
      <c r="G127">
        <v>0.496</v>
      </c>
      <c r="H127">
        <v>26</v>
      </c>
      <c r="I127">
        <v>1</v>
      </c>
    </row>
    <row r="128" spans="1:9" x14ac:dyDescent="0.3">
      <c r="A128">
        <v>3</v>
      </c>
      <c r="B128">
        <v>120</v>
      </c>
      <c r="C128">
        <v>70</v>
      </c>
      <c r="D128">
        <v>30</v>
      </c>
      <c r="E128">
        <v>135</v>
      </c>
      <c r="F128">
        <v>42.9</v>
      </c>
      <c r="G128">
        <v>0.45200000000000001</v>
      </c>
      <c r="H128">
        <v>30</v>
      </c>
      <c r="I128">
        <v>0</v>
      </c>
    </row>
    <row r="129" spans="1:9" x14ac:dyDescent="0.3">
      <c r="A129">
        <v>1</v>
      </c>
      <c r="B129">
        <v>118</v>
      </c>
      <c r="C129">
        <v>58</v>
      </c>
      <c r="D129">
        <v>36</v>
      </c>
      <c r="E129">
        <v>94</v>
      </c>
      <c r="F129">
        <v>33.299999999999997</v>
      </c>
      <c r="G129">
        <v>0.26100000000000001</v>
      </c>
      <c r="H129">
        <v>23</v>
      </c>
      <c r="I129">
        <v>0</v>
      </c>
    </row>
    <row r="130" spans="1:9" x14ac:dyDescent="0.3">
      <c r="A130">
        <v>1</v>
      </c>
      <c r="B130">
        <v>117</v>
      </c>
      <c r="C130">
        <v>88</v>
      </c>
      <c r="D130">
        <v>24</v>
      </c>
      <c r="E130">
        <v>145</v>
      </c>
      <c r="F130">
        <v>34.5</v>
      </c>
      <c r="G130">
        <v>0.40300000000000002</v>
      </c>
      <c r="H130">
        <v>40</v>
      </c>
      <c r="I130">
        <v>1</v>
      </c>
    </row>
    <row r="131" spans="1:9" x14ac:dyDescent="0.3">
      <c r="A131">
        <v>0</v>
      </c>
      <c r="B131">
        <v>105</v>
      </c>
      <c r="C131">
        <v>84</v>
      </c>
      <c r="D131">
        <v>0</v>
      </c>
      <c r="E131">
        <v>0</v>
      </c>
      <c r="F131">
        <v>27.9</v>
      </c>
      <c r="G131">
        <v>0.74099999999999999</v>
      </c>
      <c r="H131">
        <v>62</v>
      </c>
      <c r="I131">
        <v>1</v>
      </c>
    </row>
    <row r="132" spans="1:9" x14ac:dyDescent="0.3">
      <c r="A132">
        <v>4</v>
      </c>
      <c r="B132">
        <v>173</v>
      </c>
      <c r="C132">
        <v>70</v>
      </c>
      <c r="D132">
        <v>14</v>
      </c>
      <c r="E132">
        <v>168</v>
      </c>
      <c r="F132">
        <v>29.7</v>
      </c>
      <c r="G132">
        <v>0.36099999999999999</v>
      </c>
      <c r="H132">
        <v>33</v>
      </c>
      <c r="I132">
        <v>1</v>
      </c>
    </row>
    <row r="133" spans="1:9" x14ac:dyDescent="0.3">
      <c r="A133">
        <v>9</v>
      </c>
      <c r="B133">
        <v>122</v>
      </c>
      <c r="C133">
        <v>56</v>
      </c>
      <c r="D133">
        <v>0</v>
      </c>
      <c r="E133">
        <v>0</v>
      </c>
      <c r="F133">
        <v>33.299999999999997</v>
      </c>
      <c r="G133">
        <v>1.1140000000000001</v>
      </c>
      <c r="H133">
        <v>33</v>
      </c>
      <c r="I133">
        <v>1</v>
      </c>
    </row>
    <row r="134" spans="1:9" x14ac:dyDescent="0.3">
      <c r="A134">
        <v>3</v>
      </c>
      <c r="B134">
        <v>170</v>
      </c>
      <c r="C134">
        <v>64</v>
      </c>
      <c r="D134">
        <v>37</v>
      </c>
      <c r="E134">
        <v>225</v>
      </c>
      <c r="F134">
        <v>34.5</v>
      </c>
      <c r="G134">
        <v>0.35599999999999998</v>
      </c>
      <c r="H134">
        <v>30</v>
      </c>
      <c r="I134">
        <v>1</v>
      </c>
    </row>
    <row r="135" spans="1:9" x14ac:dyDescent="0.3">
      <c r="A135">
        <v>8</v>
      </c>
      <c r="B135">
        <v>84</v>
      </c>
      <c r="C135">
        <v>74</v>
      </c>
      <c r="D135">
        <v>31</v>
      </c>
      <c r="E135">
        <v>0</v>
      </c>
      <c r="F135">
        <v>38.299999999999997</v>
      </c>
      <c r="G135">
        <v>0.45700000000000002</v>
      </c>
      <c r="H135">
        <v>39</v>
      </c>
      <c r="I135">
        <v>0</v>
      </c>
    </row>
    <row r="136" spans="1:9" x14ac:dyDescent="0.3">
      <c r="A136">
        <v>2</v>
      </c>
      <c r="B136">
        <v>96</v>
      </c>
      <c r="C136">
        <v>68</v>
      </c>
      <c r="D136">
        <v>13</v>
      </c>
      <c r="E136">
        <v>49</v>
      </c>
      <c r="F136">
        <v>21.1</v>
      </c>
      <c r="G136">
        <v>0.64700000000000002</v>
      </c>
      <c r="H136">
        <v>26</v>
      </c>
      <c r="I136">
        <v>0</v>
      </c>
    </row>
    <row r="137" spans="1:9" x14ac:dyDescent="0.3">
      <c r="A137">
        <v>2</v>
      </c>
      <c r="B137">
        <v>125</v>
      </c>
      <c r="C137">
        <v>60</v>
      </c>
      <c r="D137">
        <v>20</v>
      </c>
      <c r="E137">
        <v>140</v>
      </c>
      <c r="F137">
        <v>33.799999999999997</v>
      </c>
      <c r="G137">
        <v>8.7999999999999995E-2</v>
      </c>
      <c r="H137">
        <v>31</v>
      </c>
      <c r="I137">
        <v>0</v>
      </c>
    </row>
    <row r="138" spans="1:9" x14ac:dyDescent="0.3">
      <c r="A138">
        <v>0</v>
      </c>
      <c r="B138">
        <v>100</v>
      </c>
      <c r="C138">
        <v>70</v>
      </c>
      <c r="D138">
        <v>26</v>
      </c>
      <c r="E138">
        <v>50</v>
      </c>
      <c r="F138">
        <v>30.8</v>
      </c>
      <c r="G138">
        <v>0.59699999999999998</v>
      </c>
      <c r="H138">
        <v>21</v>
      </c>
      <c r="I138">
        <v>0</v>
      </c>
    </row>
    <row r="139" spans="1:9" x14ac:dyDescent="0.3">
      <c r="A139">
        <v>0</v>
      </c>
      <c r="B139">
        <v>93</v>
      </c>
      <c r="C139">
        <v>60</v>
      </c>
      <c r="D139">
        <v>25</v>
      </c>
      <c r="E139">
        <v>92</v>
      </c>
      <c r="F139">
        <v>28.7</v>
      </c>
      <c r="G139">
        <v>0.53200000000000003</v>
      </c>
      <c r="H139">
        <v>22</v>
      </c>
      <c r="I139">
        <v>0</v>
      </c>
    </row>
    <row r="140" spans="1:9" x14ac:dyDescent="0.3">
      <c r="A140">
        <v>0</v>
      </c>
      <c r="B140">
        <v>129</v>
      </c>
      <c r="C140">
        <v>80</v>
      </c>
      <c r="D140">
        <v>0</v>
      </c>
      <c r="E140">
        <v>0</v>
      </c>
      <c r="F140">
        <v>31.2</v>
      </c>
      <c r="G140">
        <v>0.70299999999999996</v>
      </c>
      <c r="H140">
        <v>29</v>
      </c>
      <c r="I140">
        <v>0</v>
      </c>
    </row>
    <row r="141" spans="1:9" x14ac:dyDescent="0.3">
      <c r="A141">
        <v>5</v>
      </c>
      <c r="B141">
        <v>105</v>
      </c>
      <c r="C141">
        <v>72</v>
      </c>
      <c r="D141">
        <v>29</v>
      </c>
      <c r="E141">
        <v>325</v>
      </c>
      <c r="F141">
        <v>36.9</v>
      </c>
      <c r="G141">
        <v>0.159</v>
      </c>
      <c r="H141">
        <v>28</v>
      </c>
      <c r="I141">
        <v>0</v>
      </c>
    </row>
    <row r="142" spans="1:9" x14ac:dyDescent="0.3">
      <c r="A142">
        <v>3</v>
      </c>
      <c r="B142">
        <v>128</v>
      </c>
      <c r="C142">
        <v>78</v>
      </c>
      <c r="D142">
        <v>0</v>
      </c>
      <c r="E142">
        <v>0</v>
      </c>
      <c r="F142">
        <v>21.1</v>
      </c>
      <c r="G142">
        <v>0.26800000000000002</v>
      </c>
      <c r="H142">
        <v>55</v>
      </c>
      <c r="I142">
        <v>0</v>
      </c>
    </row>
    <row r="143" spans="1:9" x14ac:dyDescent="0.3">
      <c r="A143">
        <v>5</v>
      </c>
      <c r="B143">
        <v>106</v>
      </c>
      <c r="C143">
        <v>82</v>
      </c>
      <c r="D143">
        <v>30</v>
      </c>
      <c r="E143">
        <v>0</v>
      </c>
      <c r="F143">
        <v>39.5</v>
      </c>
      <c r="G143">
        <v>0.28599999999999998</v>
      </c>
      <c r="H143">
        <v>38</v>
      </c>
      <c r="I143">
        <v>0</v>
      </c>
    </row>
    <row r="144" spans="1:9" x14ac:dyDescent="0.3">
      <c r="A144">
        <v>2</v>
      </c>
      <c r="B144">
        <v>108</v>
      </c>
      <c r="C144">
        <v>52</v>
      </c>
      <c r="D144">
        <v>26</v>
      </c>
      <c r="E144">
        <v>63</v>
      </c>
      <c r="F144">
        <v>32.5</v>
      </c>
      <c r="G144">
        <v>0.318</v>
      </c>
      <c r="H144">
        <v>22</v>
      </c>
      <c r="I144">
        <v>0</v>
      </c>
    </row>
    <row r="145" spans="1:9" x14ac:dyDescent="0.3">
      <c r="A145">
        <v>10</v>
      </c>
      <c r="B145">
        <v>108</v>
      </c>
      <c r="C145">
        <v>66</v>
      </c>
      <c r="D145">
        <v>0</v>
      </c>
      <c r="E145">
        <v>0</v>
      </c>
      <c r="F145">
        <v>32.4</v>
      </c>
      <c r="G145">
        <v>0.27200000000000002</v>
      </c>
      <c r="H145">
        <v>42</v>
      </c>
      <c r="I145">
        <v>1</v>
      </c>
    </row>
    <row r="146" spans="1:9" x14ac:dyDescent="0.3">
      <c r="A146">
        <v>4</v>
      </c>
      <c r="B146">
        <v>154</v>
      </c>
      <c r="C146">
        <v>62</v>
      </c>
      <c r="D146">
        <v>31</v>
      </c>
      <c r="E146">
        <v>284</v>
      </c>
      <c r="F146">
        <v>32.799999999999997</v>
      </c>
      <c r="G146">
        <v>0.23699999999999999</v>
      </c>
      <c r="H146">
        <v>23</v>
      </c>
      <c r="I146">
        <v>0</v>
      </c>
    </row>
    <row r="147" spans="1:9" x14ac:dyDescent="0.3">
      <c r="A147">
        <v>0</v>
      </c>
      <c r="B147">
        <v>102</v>
      </c>
      <c r="C147">
        <v>75</v>
      </c>
      <c r="D147">
        <v>23</v>
      </c>
      <c r="E147">
        <v>0</v>
      </c>
      <c r="F147">
        <v>0</v>
      </c>
      <c r="G147">
        <v>0.57199999999999995</v>
      </c>
      <c r="H147">
        <v>21</v>
      </c>
      <c r="I147">
        <v>0</v>
      </c>
    </row>
    <row r="148" spans="1:9" x14ac:dyDescent="0.3">
      <c r="A148">
        <v>9</v>
      </c>
      <c r="B148">
        <v>57</v>
      </c>
      <c r="C148">
        <v>80</v>
      </c>
      <c r="D148">
        <v>37</v>
      </c>
      <c r="E148">
        <v>0</v>
      </c>
      <c r="F148">
        <v>32.799999999999997</v>
      </c>
      <c r="G148">
        <v>9.6000000000000002E-2</v>
      </c>
      <c r="H148">
        <v>41</v>
      </c>
      <c r="I148">
        <v>0</v>
      </c>
    </row>
    <row r="149" spans="1:9" x14ac:dyDescent="0.3">
      <c r="A149">
        <v>2</v>
      </c>
      <c r="B149">
        <v>106</v>
      </c>
      <c r="C149">
        <v>64</v>
      </c>
      <c r="D149">
        <v>35</v>
      </c>
      <c r="E149">
        <v>119</v>
      </c>
      <c r="F149">
        <v>30.5</v>
      </c>
      <c r="G149">
        <v>1.4</v>
      </c>
      <c r="H149">
        <v>34</v>
      </c>
      <c r="I149">
        <v>0</v>
      </c>
    </row>
    <row r="150" spans="1:9" x14ac:dyDescent="0.3">
      <c r="A150">
        <v>5</v>
      </c>
      <c r="B150">
        <v>147</v>
      </c>
      <c r="C150">
        <v>78</v>
      </c>
      <c r="D150">
        <v>0</v>
      </c>
      <c r="E150">
        <v>0</v>
      </c>
      <c r="F150">
        <v>33.700000000000003</v>
      </c>
      <c r="G150">
        <v>0.218</v>
      </c>
      <c r="H150">
        <v>65</v>
      </c>
      <c r="I150">
        <v>0</v>
      </c>
    </row>
    <row r="151" spans="1:9" x14ac:dyDescent="0.3">
      <c r="A151">
        <v>2</v>
      </c>
      <c r="B151">
        <v>90</v>
      </c>
      <c r="C151">
        <v>70</v>
      </c>
      <c r="D151">
        <v>17</v>
      </c>
      <c r="E151">
        <v>0</v>
      </c>
      <c r="F151">
        <v>27.3</v>
      </c>
      <c r="G151">
        <v>8.5000000000000006E-2</v>
      </c>
      <c r="H151">
        <v>22</v>
      </c>
      <c r="I151">
        <v>0</v>
      </c>
    </row>
    <row r="152" spans="1:9" x14ac:dyDescent="0.3">
      <c r="A152">
        <v>1</v>
      </c>
      <c r="B152">
        <v>136</v>
      </c>
      <c r="C152">
        <v>74</v>
      </c>
      <c r="D152">
        <v>50</v>
      </c>
      <c r="E152">
        <v>204</v>
      </c>
      <c r="F152">
        <v>37.4</v>
      </c>
      <c r="G152">
        <v>0.39900000000000002</v>
      </c>
      <c r="H152">
        <v>24</v>
      </c>
      <c r="I152">
        <v>0</v>
      </c>
    </row>
    <row r="153" spans="1:9" x14ac:dyDescent="0.3">
      <c r="A153">
        <v>4</v>
      </c>
      <c r="B153">
        <v>114</v>
      </c>
      <c r="C153">
        <v>65</v>
      </c>
      <c r="D153">
        <v>0</v>
      </c>
      <c r="E153">
        <v>0</v>
      </c>
      <c r="F153">
        <v>21.9</v>
      </c>
      <c r="G153">
        <v>0.432</v>
      </c>
      <c r="H153">
        <v>37</v>
      </c>
      <c r="I153">
        <v>0</v>
      </c>
    </row>
    <row r="154" spans="1:9" x14ac:dyDescent="0.3">
      <c r="A154">
        <v>9</v>
      </c>
      <c r="B154">
        <v>156</v>
      </c>
      <c r="C154">
        <v>86</v>
      </c>
      <c r="D154">
        <v>28</v>
      </c>
      <c r="E154">
        <v>155</v>
      </c>
      <c r="F154">
        <v>34.299999999999997</v>
      </c>
      <c r="G154">
        <v>1.1890000000000001</v>
      </c>
      <c r="H154">
        <v>42</v>
      </c>
      <c r="I154">
        <v>1</v>
      </c>
    </row>
    <row r="155" spans="1:9" x14ac:dyDescent="0.3">
      <c r="A155">
        <v>1</v>
      </c>
      <c r="B155">
        <v>153</v>
      </c>
      <c r="C155">
        <v>82</v>
      </c>
      <c r="D155">
        <v>42</v>
      </c>
      <c r="E155">
        <v>485</v>
      </c>
      <c r="F155">
        <v>40.6</v>
      </c>
      <c r="G155">
        <v>0.68700000000000006</v>
      </c>
      <c r="H155">
        <v>23</v>
      </c>
      <c r="I155">
        <v>0</v>
      </c>
    </row>
    <row r="156" spans="1:9" x14ac:dyDescent="0.3">
      <c r="A156">
        <v>8</v>
      </c>
      <c r="B156">
        <v>188</v>
      </c>
      <c r="C156">
        <v>78</v>
      </c>
      <c r="D156">
        <v>0</v>
      </c>
      <c r="E156">
        <v>0</v>
      </c>
      <c r="F156">
        <v>47.9</v>
      </c>
      <c r="G156">
        <v>0.13700000000000001</v>
      </c>
      <c r="H156">
        <v>43</v>
      </c>
      <c r="I156">
        <v>1</v>
      </c>
    </row>
    <row r="157" spans="1:9" x14ac:dyDescent="0.3">
      <c r="A157">
        <v>7</v>
      </c>
      <c r="B157">
        <v>152</v>
      </c>
      <c r="C157">
        <v>88</v>
      </c>
      <c r="D157">
        <v>44</v>
      </c>
      <c r="E157">
        <v>0</v>
      </c>
      <c r="F157">
        <v>50</v>
      </c>
      <c r="G157">
        <v>0.33700000000000002</v>
      </c>
      <c r="H157">
        <v>36</v>
      </c>
      <c r="I157">
        <v>1</v>
      </c>
    </row>
    <row r="158" spans="1:9" x14ac:dyDescent="0.3">
      <c r="A158">
        <v>2</v>
      </c>
      <c r="B158">
        <v>99</v>
      </c>
      <c r="C158">
        <v>52</v>
      </c>
      <c r="D158">
        <v>15</v>
      </c>
      <c r="E158">
        <v>94</v>
      </c>
      <c r="F158">
        <v>24.6</v>
      </c>
      <c r="G158">
        <v>0.63700000000000001</v>
      </c>
      <c r="H158">
        <v>21</v>
      </c>
      <c r="I158">
        <v>0</v>
      </c>
    </row>
    <row r="159" spans="1:9" x14ac:dyDescent="0.3">
      <c r="A159">
        <v>1</v>
      </c>
      <c r="B159">
        <v>109</v>
      </c>
      <c r="C159">
        <v>56</v>
      </c>
      <c r="D159">
        <v>21</v>
      </c>
      <c r="E159">
        <v>135</v>
      </c>
      <c r="F159">
        <v>25.2</v>
      </c>
      <c r="G159">
        <v>0.83299999999999996</v>
      </c>
      <c r="H159">
        <v>23</v>
      </c>
      <c r="I159">
        <v>0</v>
      </c>
    </row>
    <row r="160" spans="1:9" x14ac:dyDescent="0.3">
      <c r="A160">
        <v>2</v>
      </c>
      <c r="B160">
        <v>88</v>
      </c>
      <c r="C160">
        <v>74</v>
      </c>
      <c r="D160">
        <v>19</v>
      </c>
      <c r="E160">
        <v>53</v>
      </c>
      <c r="F160">
        <v>29</v>
      </c>
      <c r="G160">
        <v>0.22900000000000001</v>
      </c>
      <c r="H160">
        <v>22</v>
      </c>
      <c r="I160">
        <v>0</v>
      </c>
    </row>
    <row r="161" spans="1:9" x14ac:dyDescent="0.3">
      <c r="A161">
        <v>17</v>
      </c>
      <c r="B161">
        <v>163</v>
      </c>
      <c r="C161">
        <v>72</v>
      </c>
      <c r="D161">
        <v>41</v>
      </c>
      <c r="E161">
        <v>114</v>
      </c>
      <c r="F161">
        <v>40.9</v>
      </c>
      <c r="G161">
        <v>0.81699999999999995</v>
      </c>
      <c r="H161">
        <v>47</v>
      </c>
      <c r="I161">
        <v>1</v>
      </c>
    </row>
    <row r="162" spans="1:9" x14ac:dyDescent="0.3">
      <c r="A162">
        <v>4</v>
      </c>
      <c r="B162">
        <v>151</v>
      </c>
      <c r="C162">
        <v>90</v>
      </c>
      <c r="D162">
        <v>38</v>
      </c>
      <c r="E162">
        <v>0</v>
      </c>
      <c r="F162">
        <v>29.7</v>
      </c>
      <c r="G162">
        <v>0.29399999999999998</v>
      </c>
      <c r="H162">
        <v>36</v>
      </c>
      <c r="I162">
        <v>0</v>
      </c>
    </row>
    <row r="163" spans="1:9" x14ac:dyDescent="0.3">
      <c r="A163">
        <v>7</v>
      </c>
      <c r="B163">
        <v>102</v>
      </c>
      <c r="C163">
        <v>74</v>
      </c>
      <c r="D163">
        <v>40</v>
      </c>
      <c r="E163">
        <v>105</v>
      </c>
      <c r="F163">
        <v>37.200000000000003</v>
      </c>
      <c r="G163">
        <v>0.20399999999999999</v>
      </c>
      <c r="H163">
        <v>45</v>
      </c>
      <c r="I163">
        <v>0</v>
      </c>
    </row>
    <row r="164" spans="1:9" x14ac:dyDescent="0.3">
      <c r="A164">
        <v>0</v>
      </c>
      <c r="B164">
        <v>114</v>
      </c>
      <c r="C164">
        <v>80</v>
      </c>
      <c r="D164">
        <v>34</v>
      </c>
      <c r="E164">
        <v>285</v>
      </c>
      <c r="F164">
        <v>44.2</v>
      </c>
      <c r="G164">
        <v>0.16700000000000001</v>
      </c>
      <c r="H164">
        <v>27</v>
      </c>
      <c r="I164">
        <v>0</v>
      </c>
    </row>
    <row r="165" spans="1:9" x14ac:dyDescent="0.3">
      <c r="A165">
        <v>2</v>
      </c>
      <c r="B165">
        <v>100</v>
      </c>
      <c r="C165">
        <v>64</v>
      </c>
      <c r="D165">
        <v>23</v>
      </c>
      <c r="E165">
        <v>0</v>
      </c>
      <c r="F165">
        <v>29.7</v>
      </c>
      <c r="G165">
        <v>0.36799999999999999</v>
      </c>
      <c r="H165">
        <v>21</v>
      </c>
      <c r="I165">
        <v>0</v>
      </c>
    </row>
    <row r="166" spans="1:9" x14ac:dyDescent="0.3">
      <c r="A166">
        <v>0</v>
      </c>
      <c r="B166">
        <v>131</v>
      </c>
      <c r="C166">
        <v>88</v>
      </c>
      <c r="D166">
        <v>0</v>
      </c>
      <c r="E166">
        <v>0</v>
      </c>
      <c r="F166">
        <v>31.6</v>
      </c>
      <c r="G166">
        <v>0.74299999999999999</v>
      </c>
      <c r="H166">
        <v>32</v>
      </c>
      <c r="I166">
        <v>1</v>
      </c>
    </row>
    <row r="167" spans="1:9" x14ac:dyDescent="0.3">
      <c r="A167">
        <v>6</v>
      </c>
      <c r="B167">
        <v>104</v>
      </c>
      <c r="C167">
        <v>74</v>
      </c>
      <c r="D167">
        <v>18</v>
      </c>
      <c r="E167">
        <v>156</v>
      </c>
      <c r="F167">
        <v>29.9</v>
      </c>
      <c r="G167">
        <v>0.72199999999999998</v>
      </c>
      <c r="H167">
        <v>41</v>
      </c>
      <c r="I167">
        <v>1</v>
      </c>
    </row>
    <row r="168" spans="1:9" x14ac:dyDescent="0.3">
      <c r="A168">
        <v>3</v>
      </c>
      <c r="B168">
        <v>148</v>
      </c>
      <c r="C168">
        <v>66</v>
      </c>
      <c r="D168">
        <v>25</v>
      </c>
      <c r="E168">
        <v>0</v>
      </c>
      <c r="F168">
        <v>32.5</v>
      </c>
      <c r="G168">
        <v>0.25600000000000001</v>
      </c>
      <c r="H168">
        <v>22</v>
      </c>
      <c r="I168">
        <v>0</v>
      </c>
    </row>
    <row r="169" spans="1:9" x14ac:dyDescent="0.3">
      <c r="A169">
        <v>4</v>
      </c>
      <c r="B169">
        <v>120</v>
      </c>
      <c r="C169">
        <v>68</v>
      </c>
      <c r="D169">
        <v>0</v>
      </c>
      <c r="E169">
        <v>0</v>
      </c>
      <c r="F169">
        <v>29.6</v>
      </c>
      <c r="G169">
        <v>0.70899999999999996</v>
      </c>
      <c r="H169">
        <v>34</v>
      </c>
      <c r="I169">
        <v>0</v>
      </c>
    </row>
    <row r="170" spans="1:9" x14ac:dyDescent="0.3">
      <c r="A170">
        <v>4</v>
      </c>
      <c r="B170">
        <v>110</v>
      </c>
      <c r="C170">
        <v>66</v>
      </c>
      <c r="D170">
        <v>0</v>
      </c>
      <c r="E170">
        <v>0</v>
      </c>
      <c r="F170">
        <v>31.9</v>
      </c>
      <c r="G170">
        <v>0.47099999999999997</v>
      </c>
      <c r="H170">
        <v>29</v>
      </c>
      <c r="I170">
        <v>0</v>
      </c>
    </row>
    <row r="171" spans="1:9" x14ac:dyDescent="0.3">
      <c r="A171">
        <v>3</v>
      </c>
      <c r="B171">
        <v>111</v>
      </c>
      <c r="C171">
        <v>90</v>
      </c>
      <c r="D171">
        <v>12</v>
      </c>
      <c r="E171">
        <v>78</v>
      </c>
      <c r="F171">
        <v>28.4</v>
      </c>
      <c r="G171">
        <v>0.495</v>
      </c>
      <c r="H171">
        <v>29</v>
      </c>
      <c r="I171">
        <v>0</v>
      </c>
    </row>
    <row r="172" spans="1:9" x14ac:dyDescent="0.3">
      <c r="A172">
        <v>6</v>
      </c>
      <c r="B172">
        <v>102</v>
      </c>
      <c r="C172">
        <v>82</v>
      </c>
      <c r="D172">
        <v>0</v>
      </c>
      <c r="E172">
        <v>0</v>
      </c>
      <c r="F172">
        <v>30.8</v>
      </c>
      <c r="G172">
        <v>0.18</v>
      </c>
      <c r="H172">
        <v>36</v>
      </c>
      <c r="I172">
        <v>1</v>
      </c>
    </row>
    <row r="173" spans="1:9" x14ac:dyDescent="0.3">
      <c r="A173">
        <v>6</v>
      </c>
      <c r="B173">
        <v>134</v>
      </c>
      <c r="C173">
        <v>70</v>
      </c>
      <c r="D173">
        <v>23</v>
      </c>
      <c r="E173">
        <v>130</v>
      </c>
      <c r="F173">
        <v>35.4</v>
      </c>
      <c r="G173">
        <v>0.54200000000000004</v>
      </c>
      <c r="H173">
        <v>29</v>
      </c>
      <c r="I173">
        <v>1</v>
      </c>
    </row>
    <row r="174" spans="1:9" x14ac:dyDescent="0.3">
      <c r="A174">
        <v>2</v>
      </c>
      <c r="B174">
        <v>87</v>
      </c>
      <c r="C174">
        <v>0</v>
      </c>
      <c r="D174">
        <v>23</v>
      </c>
      <c r="E174">
        <v>0</v>
      </c>
      <c r="F174">
        <v>28.9</v>
      </c>
      <c r="G174">
        <v>0.77300000000000002</v>
      </c>
      <c r="H174">
        <v>25</v>
      </c>
      <c r="I174">
        <v>0</v>
      </c>
    </row>
    <row r="175" spans="1:9" x14ac:dyDescent="0.3">
      <c r="A175">
        <v>1</v>
      </c>
      <c r="B175">
        <v>79</v>
      </c>
      <c r="C175">
        <v>60</v>
      </c>
      <c r="D175">
        <v>42</v>
      </c>
      <c r="E175">
        <v>48</v>
      </c>
      <c r="F175">
        <v>43.5</v>
      </c>
      <c r="G175">
        <v>0.67800000000000005</v>
      </c>
      <c r="H175">
        <v>23</v>
      </c>
      <c r="I175">
        <v>0</v>
      </c>
    </row>
    <row r="176" spans="1:9" x14ac:dyDescent="0.3">
      <c r="A176">
        <v>2</v>
      </c>
      <c r="B176">
        <v>75</v>
      </c>
      <c r="C176">
        <v>64</v>
      </c>
      <c r="D176">
        <v>24</v>
      </c>
      <c r="E176">
        <v>55</v>
      </c>
      <c r="F176">
        <v>29.7</v>
      </c>
      <c r="G176">
        <v>0.37</v>
      </c>
      <c r="H176">
        <v>33</v>
      </c>
      <c r="I176">
        <v>0</v>
      </c>
    </row>
    <row r="177" spans="1:9" x14ac:dyDescent="0.3">
      <c r="A177">
        <v>8</v>
      </c>
      <c r="B177">
        <v>179</v>
      </c>
      <c r="C177">
        <v>72</v>
      </c>
      <c r="D177">
        <v>42</v>
      </c>
      <c r="E177">
        <v>130</v>
      </c>
      <c r="F177">
        <v>32.700000000000003</v>
      </c>
      <c r="G177">
        <v>0.71899999999999997</v>
      </c>
      <c r="H177">
        <v>36</v>
      </c>
      <c r="I177">
        <v>1</v>
      </c>
    </row>
    <row r="178" spans="1:9" x14ac:dyDescent="0.3">
      <c r="A178">
        <v>6</v>
      </c>
      <c r="B178">
        <v>85</v>
      </c>
      <c r="C178">
        <v>78</v>
      </c>
      <c r="D178">
        <v>0</v>
      </c>
      <c r="E178">
        <v>0</v>
      </c>
      <c r="F178">
        <v>31.2</v>
      </c>
      <c r="G178">
        <v>0.38200000000000001</v>
      </c>
      <c r="H178">
        <v>42</v>
      </c>
      <c r="I178">
        <v>0</v>
      </c>
    </row>
    <row r="179" spans="1:9" x14ac:dyDescent="0.3">
      <c r="A179">
        <v>0</v>
      </c>
      <c r="B179">
        <v>129</v>
      </c>
      <c r="C179">
        <v>110</v>
      </c>
      <c r="D179">
        <v>46</v>
      </c>
      <c r="E179">
        <v>130</v>
      </c>
      <c r="F179">
        <v>67.099999999999994</v>
      </c>
      <c r="G179">
        <v>0.31900000000000001</v>
      </c>
      <c r="H179">
        <v>26</v>
      </c>
      <c r="I179">
        <v>1</v>
      </c>
    </row>
    <row r="180" spans="1:9" x14ac:dyDescent="0.3">
      <c r="A180">
        <v>5</v>
      </c>
      <c r="B180">
        <v>143</v>
      </c>
      <c r="C180">
        <v>78</v>
      </c>
      <c r="D180">
        <v>0</v>
      </c>
      <c r="E180">
        <v>0</v>
      </c>
      <c r="F180">
        <v>45</v>
      </c>
      <c r="G180">
        <v>0.19</v>
      </c>
      <c r="H180">
        <v>47</v>
      </c>
      <c r="I180">
        <v>0</v>
      </c>
    </row>
    <row r="181" spans="1:9" x14ac:dyDescent="0.3">
      <c r="A181">
        <v>5</v>
      </c>
      <c r="B181">
        <v>130</v>
      </c>
      <c r="C181">
        <v>82</v>
      </c>
      <c r="D181">
        <v>0</v>
      </c>
      <c r="E181">
        <v>0</v>
      </c>
      <c r="F181">
        <v>39.1</v>
      </c>
      <c r="G181">
        <v>0.95599999999999996</v>
      </c>
      <c r="H181">
        <v>37</v>
      </c>
      <c r="I181">
        <v>1</v>
      </c>
    </row>
    <row r="182" spans="1:9" x14ac:dyDescent="0.3">
      <c r="A182">
        <v>6</v>
      </c>
      <c r="B182">
        <v>87</v>
      </c>
      <c r="C182">
        <v>80</v>
      </c>
      <c r="D182">
        <v>0</v>
      </c>
      <c r="E182">
        <v>0</v>
      </c>
      <c r="F182">
        <v>23.2</v>
      </c>
      <c r="G182">
        <v>8.4000000000000005E-2</v>
      </c>
      <c r="H182">
        <v>32</v>
      </c>
      <c r="I182">
        <v>0</v>
      </c>
    </row>
    <row r="183" spans="1:9" x14ac:dyDescent="0.3">
      <c r="A183">
        <v>0</v>
      </c>
      <c r="B183">
        <v>119</v>
      </c>
      <c r="C183">
        <v>64</v>
      </c>
      <c r="D183">
        <v>18</v>
      </c>
      <c r="E183">
        <v>92</v>
      </c>
      <c r="F183">
        <v>34.9</v>
      </c>
      <c r="G183">
        <v>0.72499999999999998</v>
      </c>
      <c r="H183">
        <v>23</v>
      </c>
      <c r="I183">
        <v>0</v>
      </c>
    </row>
    <row r="184" spans="1:9" x14ac:dyDescent="0.3">
      <c r="A184">
        <v>1</v>
      </c>
      <c r="B184">
        <v>0</v>
      </c>
      <c r="C184">
        <v>74</v>
      </c>
      <c r="D184">
        <v>20</v>
      </c>
      <c r="E184">
        <v>23</v>
      </c>
      <c r="F184">
        <v>27.7</v>
      </c>
      <c r="G184">
        <v>0.29899999999999999</v>
      </c>
      <c r="H184">
        <v>21</v>
      </c>
      <c r="I184">
        <v>0</v>
      </c>
    </row>
    <row r="185" spans="1:9" x14ac:dyDescent="0.3">
      <c r="A185">
        <v>5</v>
      </c>
      <c r="B185">
        <v>73</v>
      </c>
      <c r="C185">
        <v>60</v>
      </c>
      <c r="D185">
        <v>0</v>
      </c>
      <c r="E185">
        <v>0</v>
      </c>
      <c r="F185">
        <v>26.8</v>
      </c>
      <c r="G185">
        <v>0.26800000000000002</v>
      </c>
      <c r="H185">
        <v>27</v>
      </c>
      <c r="I185">
        <v>0</v>
      </c>
    </row>
    <row r="186" spans="1:9" x14ac:dyDescent="0.3">
      <c r="A186">
        <v>4</v>
      </c>
      <c r="B186">
        <v>141</v>
      </c>
      <c r="C186">
        <v>74</v>
      </c>
      <c r="D186">
        <v>0</v>
      </c>
      <c r="E186">
        <v>0</v>
      </c>
      <c r="F186">
        <v>27.6</v>
      </c>
      <c r="G186">
        <v>0.24399999999999999</v>
      </c>
      <c r="H186">
        <v>40</v>
      </c>
      <c r="I186">
        <v>0</v>
      </c>
    </row>
    <row r="187" spans="1:9" x14ac:dyDescent="0.3">
      <c r="A187">
        <v>7</v>
      </c>
      <c r="B187">
        <v>194</v>
      </c>
      <c r="C187">
        <v>68</v>
      </c>
      <c r="D187">
        <v>28</v>
      </c>
      <c r="E187">
        <v>0</v>
      </c>
      <c r="F187">
        <v>35.9</v>
      </c>
      <c r="G187">
        <v>0.745</v>
      </c>
      <c r="H187">
        <v>41</v>
      </c>
      <c r="I187">
        <v>1</v>
      </c>
    </row>
    <row r="188" spans="1:9" x14ac:dyDescent="0.3">
      <c r="A188">
        <v>8</v>
      </c>
      <c r="B188">
        <v>181</v>
      </c>
      <c r="C188">
        <v>68</v>
      </c>
      <c r="D188">
        <v>36</v>
      </c>
      <c r="E188">
        <v>495</v>
      </c>
      <c r="F188">
        <v>30.1</v>
      </c>
      <c r="G188">
        <v>0.61499999999999999</v>
      </c>
      <c r="H188">
        <v>60</v>
      </c>
      <c r="I188">
        <v>1</v>
      </c>
    </row>
    <row r="189" spans="1:9" x14ac:dyDescent="0.3">
      <c r="A189">
        <v>1</v>
      </c>
      <c r="B189">
        <v>128</v>
      </c>
      <c r="C189">
        <v>98</v>
      </c>
      <c r="D189">
        <v>41</v>
      </c>
      <c r="E189">
        <v>58</v>
      </c>
      <c r="F189">
        <v>32</v>
      </c>
      <c r="G189">
        <v>1.321</v>
      </c>
      <c r="H189">
        <v>33</v>
      </c>
      <c r="I189">
        <v>1</v>
      </c>
    </row>
    <row r="190" spans="1:9" x14ac:dyDescent="0.3">
      <c r="A190">
        <v>8</v>
      </c>
      <c r="B190">
        <v>109</v>
      </c>
      <c r="C190">
        <v>76</v>
      </c>
      <c r="D190">
        <v>39</v>
      </c>
      <c r="E190">
        <v>114</v>
      </c>
      <c r="F190">
        <v>27.9</v>
      </c>
      <c r="G190">
        <v>0.64</v>
      </c>
      <c r="H190">
        <v>31</v>
      </c>
      <c r="I190">
        <v>1</v>
      </c>
    </row>
    <row r="191" spans="1:9" x14ac:dyDescent="0.3">
      <c r="A191">
        <v>5</v>
      </c>
      <c r="B191">
        <v>139</v>
      </c>
      <c r="C191">
        <v>80</v>
      </c>
      <c r="D191">
        <v>35</v>
      </c>
      <c r="E191">
        <v>160</v>
      </c>
      <c r="F191">
        <v>31.6</v>
      </c>
      <c r="G191">
        <v>0.36099999999999999</v>
      </c>
      <c r="H191">
        <v>25</v>
      </c>
      <c r="I191">
        <v>1</v>
      </c>
    </row>
    <row r="192" spans="1:9" x14ac:dyDescent="0.3">
      <c r="A192">
        <v>3</v>
      </c>
      <c r="B192">
        <v>111</v>
      </c>
      <c r="C192">
        <v>62</v>
      </c>
      <c r="D192">
        <v>0</v>
      </c>
      <c r="E192">
        <v>0</v>
      </c>
      <c r="F192">
        <v>22.6</v>
      </c>
      <c r="G192">
        <v>0.14199999999999999</v>
      </c>
      <c r="H192">
        <v>21</v>
      </c>
      <c r="I192">
        <v>0</v>
      </c>
    </row>
    <row r="193" spans="1:9" x14ac:dyDescent="0.3">
      <c r="A193">
        <v>9</v>
      </c>
      <c r="B193">
        <v>123</v>
      </c>
      <c r="C193">
        <v>70</v>
      </c>
      <c r="D193">
        <v>44</v>
      </c>
      <c r="E193">
        <v>94</v>
      </c>
      <c r="F193">
        <v>33.1</v>
      </c>
      <c r="G193">
        <v>0.374</v>
      </c>
      <c r="H193">
        <v>40</v>
      </c>
      <c r="I193">
        <v>0</v>
      </c>
    </row>
    <row r="194" spans="1:9" x14ac:dyDescent="0.3">
      <c r="A194">
        <v>7</v>
      </c>
      <c r="B194">
        <v>159</v>
      </c>
      <c r="C194">
        <v>66</v>
      </c>
      <c r="D194">
        <v>0</v>
      </c>
      <c r="E194">
        <v>0</v>
      </c>
      <c r="F194">
        <v>30.4</v>
      </c>
      <c r="G194">
        <v>0.38300000000000001</v>
      </c>
      <c r="H194">
        <v>36</v>
      </c>
      <c r="I194">
        <v>1</v>
      </c>
    </row>
    <row r="195" spans="1:9" x14ac:dyDescent="0.3">
      <c r="A195">
        <v>11</v>
      </c>
      <c r="B195">
        <v>135</v>
      </c>
      <c r="C195">
        <v>0</v>
      </c>
      <c r="D195">
        <v>0</v>
      </c>
      <c r="E195">
        <v>0</v>
      </c>
      <c r="F195">
        <v>52.3</v>
      </c>
      <c r="G195">
        <v>0.57799999999999996</v>
      </c>
      <c r="H195">
        <v>40</v>
      </c>
      <c r="I195">
        <v>1</v>
      </c>
    </row>
    <row r="196" spans="1:9" x14ac:dyDescent="0.3">
      <c r="A196">
        <v>8</v>
      </c>
      <c r="B196">
        <v>85</v>
      </c>
      <c r="C196">
        <v>55</v>
      </c>
      <c r="D196">
        <v>20</v>
      </c>
      <c r="E196">
        <v>0</v>
      </c>
      <c r="F196">
        <v>24.4</v>
      </c>
      <c r="G196">
        <v>0.13600000000000001</v>
      </c>
      <c r="H196">
        <v>42</v>
      </c>
      <c r="I196">
        <v>0</v>
      </c>
    </row>
    <row r="197" spans="1:9" x14ac:dyDescent="0.3">
      <c r="A197">
        <v>5</v>
      </c>
      <c r="B197">
        <v>158</v>
      </c>
      <c r="C197">
        <v>84</v>
      </c>
      <c r="D197">
        <v>41</v>
      </c>
      <c r="E197">
        <v>210</v>
      </c>
      <c r="F197">
        <v>39.4</v>
      </c>
      <c r="G197">
        <v>0.39500000000000002</v>
      </c>
      <c r="H197">
        <v>29</v>
      </c>
      <c r="I197">
        <v>1</v>
      </c>
    </row>
    <row r="198" spans="1:9" x14ac:dyDescent="0.3">
      <c r="A198">
        <v>1</v>
      </c>
      <c r="B198">
        <v>105</v>
      </c>
      <c r="C198">
        <v>58</v>
      </c>
      <c r="D198">
        <v>0</v>
      </c>
      <c r="E198">
        <v>0</v>
      </c>
      <c r="F198">
        <v>24.3</v>
      </c>
      <c r="G198">
        <v>0.187</v>
      </c>
      <c r="H198">
        <v>21</v>
      </c>
      <c r="I198">
        <v>0</v>
      </c>
    </row>
    <row r="199" spans="1:9" x14ac:dyDescent="0.3">
      <c r="A199">
        <v>3</v>
      </c>
      <c r="B199">
        <v>107</v>
      </c>
      <c r="C199">
        <v>62</v>
      </c>
      <c r="D199">
        <v>13</v>
      </c>
      <c r="E199">
        <v>48</v>
      </c>
      <c r="F199">
        <v>22.9</v>
      </c>
      <c r="G199">
        <v>0.67800000000000005</v>
      </c>
      <c r="H199">
        <v>23</v>
      </c>
      <c r="I199">
        <v>1</v>
      </c>
    </row>
    <row r="200" spans="1:9" x14ac:dyDescent="0.3">
      <c r="A200">
        <v>4</v>
      </c>
      <c r="B200">
        <v>109</v>
      </c>
      <c r="C200">
        <v>64</v>
      </c>
      <c r="D200">
        <v>44</v>
      </c>
      <c r="E200">
        <v>99</v>
      </c>
      <c r="F200">
        <v>34.799999999999997</v>
      </c>
      <c r="G200">
        <v>0.90500000000000003</v>
      </c>
      <c r="H200">
        <v>26</v>
      </c>
      <c r="I200">
        <v>1</v>
      </c>
    </row>
    <row r="201" spans="1:9" x14ac:dyDescent="0.3">
      <c r="A201">
        <v>4</v>
      </c>
      <c r="B201">
        <v>148</v>
      </c>
      <c r="C201">
        <v>60</v>
      </c>
      <c r="D201">
        <v>27</v>
      </c>
      <c r="E201">
        <v>318</v>
      </c>
      <c r="F201">
        <v>30.9</v>
      </c>
      <c r="G201">
        <v>0.15</v>
      </c>
      <c r="H201">
        <v>29</v>
      </c>
      <c r="I201">
        <v>1</v>
      </c>
    </row>
    <row r="202" spans="1:9" x14ac:dyDescent="0.3">
      <c r="A202">
        <v>0</v>
      </c>
      <c r="B202">
        <v>113</v>
      </c>
      <c r="C202">
        <v>80</v>
      </c>
      <c r="D202">
        <v>16</v>
      </c>
      <c r="E202">
        <v>0</v>
      </c>
      <c r="F202">
        <v>31</v>
      </c>
      <c r="G202">
        <v>0.874</v>
      </c>
      <c r="H202">
        <v>21</v>
      </c>
      <c r="I202">
        <v>0</v>
      </c>
    </row>
    <row r="203" spans="1:9" x14ac:dyDescent="0.3">
      <c r="A203">
        <v>1</v>
      </c>
      <c r="B203">
        <v>138</v>
      </c>
      <c r="C203">
        <v>82</v>
      </c>
      <c r="D203">
        <v>0</v>
      </c>
      <c r="E203">
        <v>0</v>
      </c>
      <c r="F203">
        <v>40.1</v>
      </c>
      <c r="G203">
        <v>0.23599999999999999</v>
      </c>
      <c r="H203">
        <v>28</v>
      </c>
      <c r="I203">
        <v>0</v>
      </c>
    </row>
    <row r="204" spans="1:9" x14ac:dyDescent="0.3">
      <c r="A204">
        <v>0</v>
      </c>
      <c r="B204">
        <v>108</v>
      </c>
      <c r="C204">
        <v>68</v>
      </c>
      <c r="D204">
        <v>20</v>
      </c>
      <c r="E204">
        <v>0</v>
      </c>
      <c r="F204">
        <v>27.3</v>
      </c>
      <c r="G204">
        <v>0.78700000000000003</v>
      </c>
      <c r="H204">
        <v>32</v>
      </c>
      <c r="I204">
        <v>0</v>
      </c>
    </row>
    <row r="205" spans="1:9" x14ac:dyDescent="0.3">
      <c r="A205">
        <v>2</v>
      </c>
      <c r="B205">
        <v>99</v>
      </c>
      <c r="C205">
        <v>70</v>
      </c>
      <c r="D205">
        <v>16</v>
      </c>
      <c r="E205">
        <v>44</v>
      </c>
      <c r="F205">
        <v>20.399999999999999</v>
      </c>
      <c r="G205">
        <v>0.23499999999999999</v>
      </c>
      <c r="H205">
        <v>27</v>
      </c>
      <c r="I205">
        <v>0</v>
      </c>
    </row>
    <row r="206" spans="1:9" x14ac:dyDescent="0.3">
      <c r="A206">
        <v>6</v>
      </c>
      <c r="B206">
        <v>103</v>
      </c>
      <c r="C206">
        <v>72</v>
      </c>
      <c r="D206">
        <v>32</v>
      </c>
      <c r="E206">
        <v>190</v>
      </c>
      <c r="F206">
        <v>37.700000000000003</v>
      </c>
      <c r="G206">
        <v>0.32400000000000001</v>
      </c>
      <c r="H206">
        <v>55</v>
      </c>
      <c r="I206">
        <v>0</v>
      </c>
    </row>
    <row r="207" spans="1:9" x14ac:dyDescent="0.3">
      <c r="A207">
        <v>5</v>
      </c>
      <c r="B207">
        <v>111</v>
      </c>
      <c r="C207">
        <v>72</v>
      </c>
      <c r="D207">
        <v>28</v>
      </c>
      <c r="E207">
        <v>0</v>
      </c>
      <c r="F207">
        <v>23.9</v>
      </c>
      <c r="G207">
        <v>0.40699999999999997</v>
      </c>
      <c r="H207">
        <v>27</v>
      </c>
      <c r="I207">
        <v>0</v>
      </c>
    </row>
    <row r="208" spans="1:9" x14ac:dyDescent="0.3">
      <c r="A208">
        <v>8</v>
      </c>
      <c r="B208">
        <v>196</v>
      </c>
      <c r="C208">
        <v>76</v>
      </c>
      <c r="D208">
        <v>29</v>
      </c>
      <c r="E208">
        <v>280</v>
      </c>
      <c r="F208">
        <v>37.5</v>
      </c>
      <c r="G208">
        <v>0.60499999999999998</v>
      </c>
      <c r="H208">
        <v>57</v>
      </c>
      <c r="I208">
        <v>1</v>
      </c>
    </row>
    <row r="209" spans="1:9" x14ac:dyDescent="0.3">
      <c r="A209">
        <v>5</v>
      </c>
      <c r="B209">
        <v>162</v>
      </c>
      <c r="C209">
        <v>104</v>
      </c>
      <c r="D209">
        <v>0</v>
      </c>
      <c r="E209">
        <v>0</v>
      </c>
      <c r="F209">
        <v>37.700000000000003</v>
      </c>
      <c r="G209">
        <v>0.151</v>
      </c>
      <c r="H209">
        <v>52</v>
      </c>
      <c r="I209">
        <v>1</v>
      </c>
    </row>
    <row r="210" spans="1:9" x14ac:dyDescent="0.3">
      <c r="A210">
        <v>1</v>
      </c>
      <c r="B210">
        <v>96</v>
      </c>
      <c r="C210">
        <v>64</v>
      </c>
      <c r="D210">
        <v>27</v>
      </c>
      <c r="E210">
        <v>87</v>
      </c>
      <c r="F210">
        <v>33.200000000000003</v>
      </c>
      <c r="G210">
        <v>0.28899999999999998</v>
      </c>
      <c r="H210">
        <v>21</v>
      </c>
      <c r="I210">
        <v>0</v>
      </c>
    </row>
    <row r="211" spans="1:9" x14ac:dyDescent="0.3">
      <c r="A211">
        <v>7</v>
      </c>
      <c r="B211">
        <v>184</v>
      </c>
      <c r="C211">
        <v>84</v>
      </c>
      <c r="D211">
        <v>33</v>
      </c>
      <c r="E211">
        <v>0</v>
      </c>
      <c r="F211">
        <v>35.5</v>
      </c>
      <c r="G211">
        <v>0.35499999999999998</v>
      </c>
      <c r="H211">
        <v>41</v>
      </c>
      <c r="I211">
        <v>1</v>
      </c>
    </row>
    <row r="212" spans="1:9" x14ac:dyDescent="0.3">
      <c r="A212">
        <v>2</v>
      </c>
      <c r="B212">
        <v>81</v>
      </c>
      <c r="C212">
        <v>60</v>
      </c>
      <c r="D212">
        <v>22</v>
      </c>
      <c r="E212">
        <v>0</v>
      </c>
      <c r="F212">
        <v>27.7</v>
      </c>
      <c r="G212">
        <v>0.28999999999999998</v>
      </c>
      <c r="H212">
        <v>25</v>
      </c>
      <c r="I212">
        <v>0</v>
      </c>
    </row>
    <row r="213" spans="1:9" x14ac:dyDescent="0.3">
      <c r="A213">
        <v>0</v>
      </c>
      <c r="B213">
        <v>147</v>
      </c>
      <c r="C213">
        <v>85</v>
      </c>
      <c r="D213">
        <v>54</v>
      </c>
      <c r="E213">
        <v>0</v>
      </c>
      <c r="F213">
        <v>42.8</v>
      </c>
      <c r="G213">
        <v>0.375</v>
      </c>
      <c r="H213">
        <v>24</v>
      </c>
      <c r="I213">
        <v>0</v>
      </c>
    </row>
    <row r="214" spans="1:9" x14ac:dyDescent="0.3">
      <c r="A214">
        <v>7</v>
      </c>
      <c r="B214">
        <v>179</v>
      </c>
      <c r="C214">
        <v>95</v>
      </c>
      <c r="D214">
        <v>31</v>
      </c>
      <c r="E214">
        <v>0</v>
      </c>
      <c r="F214">
        <v>34.200000000000003</v>
      </c>
      <c r="G214">
        <v>0.16400000000000001</v>
      </c>
      <c r="H214">
        <v>60</v>
      </c>
      <c r="I214">
        <v>0</v>
      </c>
    </row>
    <row r="215" spans="1:9" x14ac:dyDescent="0.3">
      <c r="A215">
        <v>0</v>
      </c>
      <c r="B215">
        <v>140</v>
      </c>
      <c r="C215">
        <v>65</v>
      </c>
      <c r="D215">
        <v>26</v>
      </c>
      <c r="E215">
        <v>130</v>
      </c>
      <c r="F215">
        <v>42.6</v>
      </c>
      <c r="G215">
        <v>0.43099999999999999</v>
      </c>
      <c r="H215">
        <v>24</v>
      </c>
      <c r="I215">
        <v>1</v>
      </c>
    </row>
    <row r="216" spans="1:9" x14ac:dyDescent="0.3">
      <c r="A216">
        <v>9</v>
      </c>
      <c r="B216">
        <v>112</v>
      </c>
      <c r="C216">
        <v>82</v>
      </c>
      <c r="D216">
        <v>32</v>
      </c>
      <c r="E216">
        <v>175</v>
      </c>
      <c r="F216">
        <v>34.200000000000003</v>
      </c>
      <c r="G216">
        <v>0.26</v>
      </c>
      <c r="H216">
        <v>36</v>
      </c>
      <c r="I216">
        <v>1</v>
      </c>
    </row>
    <row r="217" spans="1:9" x14ac:dyDescent="0.3">
      <c r="A217">
        <v>12</v>
      </c>
      <c r="B217">
        <v>151</v>
      </c>
      <c r="C217">
        <v>70</v>
      </c>
      <c r="D217">
        <v>40</v>
      </c>
      <c r="E217">
        <v>271</v>
      </c>
      <c r="F217">
        <v>41.8</v>
      </c>
      <c r="G217">
        <v>0.74199999999999999</v>
      </c>
      <c r="H217">
        <v>38</v>
      </c>
      <c r="I217">
        <v>1</v>
      </c>
    </row>
    <row r="218" spans="1:9" x14ac:dyDescent="0.3">
      <c r="A218">
        <v>5</v>
      </c>
      <c r="B218">
        <v>109</v>
      </c>
      <c r="C218">
        <v>62</v>
      </c>
      <c r="D218">
        <v>41</v>
      </c>
      <c r="E218">
        <v>129</v>
      </c>
      <c r="F218">
        <v>35.799999999999997</v>
      </c>
      <c r="G218">
        <v>0.51400000000000001</v>
      </c>
      <c r="H218">
        <v>25</v>
      </c>
      <c r="I218">
        <v>1</v>
      </c>
    </row>
    <row r="219" spans="1:9" x14ac:dyDescent="0.3">
      <c r="A219">
        <v>6</v>
      </c>
      <c r="B219">
        <v>125</v>
      </c>
      <c r="C219">
        <v>68</v>
      </c>
      <c r="D219">
        <v>30</v>
      </c>
      <c r="E219">
        <v>120</v>
      </c>
      <c r="F219">
        <v>30</v>
      </c>
      <c r="G219">
        <v>0.46400000000000002</v>
      </c>
      <c r="H219">
        <v>32</v>
      </c>
      <c r="I219">
        <v>0</v>
      </c>
    </row>
    <row r="220" spans="1:9" x14ac:dyDescent="0.3">
      <c r="A220">
        <v>5</v>
      </c>
      <c r="B220">
        <v>85</v>
      </c>
      <c r="C220">
        <v>74</v>
      </c>
      <c r="D220">
        <v>22</v>
      </c>
      <c r="E220">
        <v>0</v>
      </c>
      <c r="F220">
        <v>29</v>
      </c>
      <c r="G220">
        <v>1.224</v>
      </c>
      <c r="H220">
        <v>32</v>
      </c>
      <c r="I220">
        <v>1</v>
      </c>
    </row>
    <row r="221" spans="1:9" x14ac:dyDescent="0.3">
      <c r="A221">
        <v>5</v>
      </c>
      <c r="B221">
        <v>112</v>
      </c>
      <c r="C221">
        <v>66</v>
      </c>
      <c r="D221">
        <v>0</v>
      </c>
      <c r="E221">
        <v>0</v>
      </c>
      <c r="F221">
        <v>37.799999999999997</v>
      </c>
      <c r="G221">
        <v>0.26100000000000001</v>
      </c>
      <c r="H221">
        <v>41</v>
      </c>
      <c r="I221">
        <v>1</v>
      </c>
    </row>
    <row r="222" spans="1:9" x14ac:dyDescent="0.3">
      <c r="A222">
        <v>0</v>
      </c>
      <c r="B222">
        <v>177</v>
      </c>
      <c r="C222">
        <v>60</v>
      </c>
      <c r="D222">
        <v>29</v>
      </c>
      <c r="E222">
        <v>478</v>
      </c>
      <c r="F222">
        <v>34.6</v>
      </c>
      <c r="G222">
        <v>1.0720000000000001</v>
      </c>
      <c r="H222">
        <v>21</v>
      </c>
      <c r="I222">
        <v>1</v>
      </c>
    </row>
    <row r="223" spans="1:9" x14ac:dyDescent="0.3">
      <c r="A223">
        <v>2</v>
      </c>
      <c r="B223">
        <v>158</v>
      </c>
      <c r="C223">
        <v>90</v>
      </c>
      <c r="D223">
        <v>0</v>
      </c>
      <c r="E223">
        <v>0</v>
      </c>
      <c r="F223">
        <v>31.6</v>
      </c>
      <c r="G223">
        <v>0.80500000000000005</v>
      </c>
      <c r="H223">
        <v>66</v>
      </c>
      <c r="I223">
        <v>1</v>
      </c>
    </row>
    <row r="224" spans="1:9" x14ac:dyDescent="0.3">
      <c r="A224">
        <v>7</v>
      </c>
      <c r="B224">
        <v>119</v>
      </c>
      <c r="C224">
        <v>0</v>
      </c>
      <c r="D224">
        <v>0</v>
      </c>
      <c r="E224">
        <v>0</v>
      </c>
      <c r="F224">
        <v>25.2</v>
      </c>
      <c r="G224">
        <v>0.20899999999999999</v>
      </c>
      <c r="H224">
        <v>37</v>
      </c>
      <c r="I224">
        <v>0</v>
      </c>
    </row>
    <row r="225" spans="1:9" x14ac:dyDescent="0.3">
      <c r="A225">
        <v>7</v>
      </c>
      <c r="B225">
        <v>142</v>
      </c>
      <c r="C225">
        <v>60</v>
      </c>
      <c r="D225">
        <v>33</v>
      </c>
      <c r="E225">
        <v>190</v>
      </c>
      <c r="F225">
        <v>28.8</v>
      </c>
      <c r="G225">
        <v>0.68700000000000006</v>
      </c>
      <c r="H225">
        <v>61</v>
      </c>
      <c r="I225">
        <v>0</v>
      </c>
    </row>
    <row r="226" spans="1:9" x14ac:dyDescent="0.3">
      <c r="A226">
        <v>1</v>
      </c>
      <c r="B226">
        <v>100</v>
      </c>
      <c r="C226">
        <v>66</v>
      </c>
      <c r="D226">
        <v>15</v>
      </c>
      <c r="E226">
        <v>56</v>
      </c>
      <c r="F226">
        <v>23.6</v>
      </c>
      <c r="G226">
        <v>0.66600000000000004</v>
      </c>
      <c r="H226">
        <v>26</v>
      </c>
      <c r="I226">
        <v>0</v>
      </c>
    </row>
    <row r="227" spans="1:9" x14ac:dyDescent="0.3">
      <c r="A227">
        <v>1</v>
      </c>
      <c r="B227">
        <v>87</v>
      </c>
      <c r="C227">
        <v>78</v>
      </c>
      <c r="D227">
        <v>27</v>
      </c>
      <c r="E227">
        <v>32</v>
      </c>
      <c r="F227">
        <v>34.6</v>
      </c>
      <c r="G227">
        <v>0.10100000000000001</v>
      </c>
      <c r="H227">
        <v>22</v>
      </c>
      <c r="I227">
        <v>0</v>
      </c>
    </row>
    <row r="228" spans="1:9" x14ac:dyDescent="0.3">
      <c r="A228">
        <v>0</v>
      </c>
      <c r="B228">
        <v>101</v>
      </c>
      <c r="C228">
        <v>76</v>
      </c>
      <c r="D228">
        <v>0</v>
      </c>
      <c r="E228">
        <v>0</v>
      </c>
      <c r="F228">
        <v>35.700000000000003</v>
      </c>
      <c r="G228">
        <v>0.19800000000000001</v>
      </c>
      <c r="H228">
        <v>26</v>
      </c>
      <c r="I228">
        <v>0</v>
      </c>
    </row>
    <row r="229" spans="1:9" x14ac:dyDescent="0.3">
      <c r="A229">
        <v>3</v>
      </c>
      <c r="B229">
        <v>162</v>
      </c>
      <c r="C229">
        <v>52</v>
      </c>
      <c r="D229">
        <v>38</v>
      </c>
      <c r="E229">
        <v>0</v>
      </c>
      <c r="F229">
        <v>37.200000000000003</v>
      </c>
      <c r="G229">
        <v>0.65200000000000002</v>
      </c>
      <c r="H229">
        <v>24</v>
      </c>
      <c r="I229">
        <v>1</v>
      </c>
    </row>
    <row r="230" spans="1:9" x14ac:dyDescent="0.3">
      <c r="A230">
        <v>4</v>
      </c>
      <c r="B230">
        <v>197</v>
      </c>
      <c r="C230">
        <v>70</v>
      </c>
      <c r="D230">
        <v>39</v>
      </c>
      <c r="E230">
        <v>744</v>
      </c>
      <c r="F230">
        <v>36.700000000000003</v>
      </c>
      <c r="G230">
        <v>2.3290000000000002</v>
      </c>
      <c r="H230">
        <v>31</v>
      </c>
      <c r="I230">
        <v>0</v>
      </c>
    </row>
    <row r="231" spans="1:9" x14ac:dyDescent="0.3">
      <c r="A231">
        <v>0</v>
      </c>
      <c r="B231">
        <v>117</v>
      </c>
      <c r="C231">
        <v>80</v>
      </c>
      <c r="D231">
        <v>31</v>
      </c>
      <c r="E231">
        <v>53</v>
      </c>
      <c r="F231">
        <v>45.2</v>
      </c>
      <c r="G231">
        <v>8.8999999999999996E-2</v>
      </c>
      <c r="H231">
        <v>24</v>
      </c>
      <c r="I231">
        <v>0</v>
      </c>
    </row>
    <row r="232" spans="1:9" x14ac:dyDescent="0.3">
      <c r="A232">
        <v>4</v>
      </c>
      <c r="B232">
        <v>142</v>
      </c>
      <c r="C232">
        <v>86</v>
      </c>
      <c r="D232">
        <v>0</v>
      </c>
      <c r="E232">
        <v>0</v>
      </c>
      <c r="F232">
        <v>44</v>
      </c>
      <c r="G232">
        <v>0.64500000000000002</v>
      </c>
      <c r="H232">
        <v>22</v>
      </c>
      <c r="I232">
        <v>1</v>
      </c>
    </row>
    <row r="233" spans="1:9" x14ac:dyDescent="0.3">
      <c r="A233">
        <v>6</v>
      </c>
      <c r="B233">
        <v>134</v>
      </c>
      <c r="C233">
        <v>80</v>
      </c>
      <c r="D233">
        <v>37</v>
      </c>
      <c r="E233">
        <v>370</v>
      </c>
      <c r="F233">
        <v>46.2</v>
      </c>
      <c r="G233">
        <v>0.23799999999999999</v>
      </c>
      <c r="H233">
        <v>46</v>
      </c>
      <c r="I233">
        <v>1</v>
      </c>
    </row>
    <row r="234" spans="1:9" x14ac:dyDescent="0.3">
      <c r="A234">
        <v>1</v>
      </c>
      <c r="B234">
        <v>79</v>
      </c>
      <c r="C234">
        <v>80</v>
      </c>
      <c r="D234">
        <v>25</v>
      </c>
      <c r="E234">
        <v>37</v>
      </c>
      <c r="F234">
        <v>25.4</v>
      </c>
      <c r="G234">
        <v>0.58299999999999996</v>
      </c>
      <c r="H234">
        <v>22</v>
      </c>
      <c r="I234">
        <v>0</v>
      </c>
    </row>
    <row r="235" spans="1:9" x14ac:dyDescent="0.3">
      <c r="A235">
        <v>4</v>
      </c>
      <c r="B235">
        <v>122</v>
      </c>
      <c r="C235">
        <v>68</v>
      </c>
      <c r="D235">
        <v>0</v>
      </c>
      <c r="E235">
        <v>0</v>
      </c>
      <c r="F235">
        <v>35</v>
      </c>
      <c r="G235">
        <v>0.39400000000000002</v>
      </c>
      <c r="H235">
        <v>29</v>
      </c>
      <c r="I235">
        <v>0</v>
      </c>
    </row>
    <row r="236" spans="1:9" x14ac:dyDescent="0.3">
      <c r="A236">
        <v>3</v>
      </c>
      <c r="B236">
        <v>74</v>
      </c>
      <c r="C236">
        <v>68</v>
      </c>
      <c r="D236">
        <v>28</v>
      </c>
      <c r="E236">
        <v>45</v>
      </c>
      <c r="F236">
        <v>29.7</v>
      </c>
      <c r="G236">
        <v>0.29299999999999998</v>
      </c>
      <c r="H236">
        <v>23</v>
      </c>
      <c r="I236">
        <v>0</v>
      </c>
    </row>
    <row r="237" spans="1:9" x14ac:dyDescent="0.3">
      <c r="A237">
        <v>4</v>
      </c>
      <c r="B237">
        <v>171</v>
      </c>
      <c r="C237">
        <v>72</v>
      </c>
      <c r="D237">
        <v>0</v>
      </c>
      <c r="E237">
        <v>0</v>
      </c>
      <c r="F237">
        <v>43.6</v>
      </c>
      <c r="G237">
        <v>0.47899999999999998</v>
      </c>
      <c r="H237">
        <v>26</v>
      </c>
      <c r="I237">
        <v>1</v>
      </c>
    </row>
    <row r="238" spans="1:9" x14ac:dyDescent="0.3">
      <c r="A238">
        <v>7</v>
      </c>
      <c r="B238">
        <v>181</v>
      </c>
      <c r="C238">
        <v>84</v>
      </c>
      <c r="D238">
        <v>21</v>
      </c>
      <c r="E238">
        <v>192</v>
      </c>
      <c r="F238">
        <v>35.9</v>
      </c>
      <c r="G238">
        <v>0.58599999999999997</v>
      </c>
      <c r="H238">
        <v>51</v>
      </c>
      <c r="I238">
        <v>1</v>
      </c>
    </row>
    <row r="239" spans="1:9" x14ac:dyDescent="0.3">
      <c r="A239">
        <v>0</v>
      </c>
      <c r="B239">
        <v>179</v>
      </c>
      <c r="C239">
        <v>90</v>
      </c>
      <c r="D239">
        <v>27</v>
      </c>
      <c r="E239">
        <v>0</v>
      </c>
      <c r="F239">
        <v>44.1</v>
      </c>
      <c r="G239">
        <v>0.68600000000000005</v>
      </c>
      <c r="H239">
        <v>23</v>
      </c>
      <c r="I239">
        <v>1</v>
      </c>
    </row>
    <row r="240" spans="1:9" x14ac:dyDescent="0.3">
      <c r="A240">
        <v>9</v>
      </c>
      <c r="B240">
        <v>164</v>
      </c>
      <c r="C240">
        <v>84</v>
      </c>
      <c r="D240">
        <v>21</v>
      </c>
      <c r="E240">
        <v>0</v>
      </c>
      <c r="F240">
        <v>30.8</v>
      </c>
      <c r="G240">
        <v>0.83099999999999996</v>
      </c>
      <c r="H240">
        <v>32</v>
      </c>
      <c r="I240">
        <v>1</v>
      </c>
    </row>
    <row r="241" spans="1:9" x14ac:dyDescent="0.3">
      <c r="A241">
        <v>0</v>
      </c>
      <c r="B241">
        <v>104</v>
      </c>
      <c r="C241">
        <v>76</v>
      </c>
      <c r="D241">
        <v>0</v>
      </c>
      <c r="E241">
        <v>0</v>
      </c>
      <c r="F241">
        <v>18.399999999999999</v>
      </c>
      <c r="G241">
        <v>0.58199999999999996</v>
      </c>
      <c r="H241">
        <v>27</v>
      </c>
      <c r="I241">
        <v>0</v>
      </c>
    </row>
    <row r="242" spans="1:9" x14ac:dyDescent="0.3">
      <c r="A242">
        <v>1</v>
      </c>
      <c r="B242">
        <v>91</v>
      </c>
      <c r="C242">
        <v>64</v>
      </c>
      <c r="D242">
        <v>24</v>
      </c>
      <c r="E242">
        <v>0</v>
      </c>
      <c r="F242">
        <v>29.2</v>
      </c>
      <c r="G242">
        <v>0.192</v>
      </c>
      <c r="H242">
        <v>21</v>
      </c>
      <c r="I242">
        <v>0</v>
      </c>
    </row>
    <row r="243" spans="1:9" x14ac:dyDescent="0.3">
      <c r="A243">
        <v>4</v>
      </c>
      <c r="B243">
        <v>91</v>
      </c>
      <c r="C243">
        <v>70</v>
      </c>
      <c r="D243">
        <v>32</v>
      </c>
      <c r="E243">
        <v>88</v>
      </c>
      <c r="F243">
        <v>33.1</v>
      </c>
      <c r="G243">
        <v>0.44600000000000001</v>
      </c>
      <c r="H243">
        <v>22</v>
      </c>
      <c r="I243">
        <v>0</v>
      </c>
    </row>
    <row r="244" spans="1:9" x14ac:dyDescent="0.3">
      <c r="A244">
        <v>3</v>
      </c>
      <c r="B244">
        <v>139</v>
      </c>
      <c r="C244">
        <v>54</v>
      </c>
      <c r="D244">
        <v>0</v>
      </c>
      <c r="E244">
        <v>0</v>
      </c>
      <c r="F244">
        <v>25.6</v>
      </c>
      <c r="G244">
        <v>0.40200000000000002</v>
      </c>
      <c r="H244">
        <v>22</v>
      </c>
      <c r="I244">
        <v>1</v>
      </c>
    </row>
    <row r="245" spans="1:9" x14ac:dyDescent="0.3">
      <c r="A245">
        <v>6</v>
      </c>
      <c r="B245">
        <v>119</v>
      </c>
      <c r="C245">
        <v>50</v>
      </c>
      <c r="D245">
        <v>22</v>
      </c>
      <c r="E245">
        <v>176</v>
      </c>
      <c r="F245">
        <v>27.1</v>
      </c>
      <c r="G245">
        <v>1.3180000000000001</v>
      </c>
      <c r="H245">
        <v>33</v>
      </c>
      <c r="I245">
        <v>1</v>
      </c>
    </row>
    <row r="246" spans="1:9" x14ac:dyDescent="0.3">
      <c r="A246">
        <v>2</v>
      </c>
      <c r="B246">
        <v>146</v>
      </c>
      <c r="C246">
        <v>76</v>
      </c>
      <c r="D246">
        <v>35</v>
      </c>
      <c r="E246">
        <v>194</v>
      </c>
      <c r="F246">
        <v>38.200000000000003</v>
      </c>
      <c r="G246">
        <v>0.32900000000000001</v>
      </c>
      <c r="H246">
        <v>29</v>
      </c>
      <c r="I246">
        <v>0</v>
      </c>
    </row>
    <row r="247" spans="1:9" x14ac:dyDescent="0.3">
      <c r="A247">
        <v>9</v>
      </c>
      <c r="B247">
        <v>184</v>
      </c>
      <c r="C247">
        <v>85</v>
      </c>
      <c r="D247">
        <v>15</v>
      </c>
      <c r="E247">
        <v>0</v>
      </c>
      <c r="F247">
        <v>30</v>
      </c>
      <c r="G247">
        <v>1.2130000000000001</v>
      </c>
      <c r="H247">
        <v>49</v>
      </c>
      <c r="I247">
        <v>1</v>
      </c>
    </row>
    <row r="248" spans="1:9" x14ac:dyDescent="0.3">
      <c r="A248">
        <v>10</v>
      </c>
      <c r="B248">
        <v>122</v>
      </c>
      <c r="C248">
        <v>68</v>
      </c>
      <c r="D248">
        <v>0</v>
      </c>
      <c r="E248">
        <v>0</v>
      </c>
      <c r="F248">
        <v>31.2</v>
      </c>
      <c r="G248">
        <v>0.25800000000000001</v>
      </c>
      <c r="H248">
        <v>41</v>
      </c>
      <c r="I248">
        <v>0</v>
      </c>
    </row>
    <row r="249" spans="1:9" x14ac:dyDescent="0.3">
      <c r="A249">
        <v>0</v>
      </c>
      <c r="B249">
        <v>165</v>
      </c>
      <c r="C249">
        <v>90</v>
      </c>
      <c r="D249">
        <v>33</v>
      </c>
      <c r="E249">
        <v>680</v>
      </c>
      <c r="F249">
        <v>52.3</v>
      </c>
      <c r="G249">
        <v>0.42699999999999999</v>
      </c>
      <c r="H249">
        <v>23</v>
      </c>
      <c r="I249">
        <v>0</v>
      </c>
    </row>
    <row r="250" spans="1:9" x14ac:dyDescent="0.3">
      <c r="A250">
        <v>9</v>
      </c>
      <c r="B250">
        <v>124</v>
      </c>
      <c r="C250">
        <v>70</v>
      </c>
      <c r="D250">
        <v>33</v>
      </c>
      <c r="E250">
        <v>402</v>
      </c>
      <c r="F250">
        <v>35.4</v>
      </c>
      <c r="G250">
        <v>0.28199999999999997</v>
      </c>
      <c r="H250">
        <v>34</v>
      </c>
      <c r="I250">
        <v>0</v>
      </c>
    </row>
    <row r="251" spans="1:9" x14ac:dyDescent="0.3">
      <c r="A251">
        <v>1</v>
      </c>
      <c r="B251">
        <v>111</v>
      </c>
      <c r="C251">
        <v>86</v>
      </c>
      <c r="D251">
        <v>19</v>
      </c>
      <c r="E251">
        <v>0</v>
      </c>
      <c r="F251">
        <v>30.1</v>
      </c>
      <c r="G251">
        <v>0.14299999999999999</v>
      </c>
      <c r="H251">
        <v>23</v>
      </c>
      <c r="I251">
        <v>0</v>
      </c>
    </row>
    <row r="252" spans="1:9" x14ac:dyDescent="0.3">
      <c r="A252">
        <v>9</v>
      </c>
      <c r="B252">
        <v>106</v>
      </c>
      <c r="C252">
        <v>52</v>
      </c>
      <c r="D252">
        <v>0</v>
      </c>
      <c r="E252">
        <v>0</v>
      </c>
      <c r="F252">
        <v>31.2</v>
      </c>
      <c r="G252">
        <v>0.38</v>
      </c>
      <c r="H252">
        <v>42</v>
      </c>
      <c r="I252">
        <v>0</v>
      </c>
    </row>
    <row r="253" spans="1:9" x14ac:dyDescent="0.3">
      <c r="A253">
        <v>2</v>
      </c>
      <c r="B253">
        <v>129</v>
      </c>
      <c r="C253">
        <v>84</v>
      </c>
      <c r="D253">
        <v>0</v>
      </c>
      <c r="E253">
        <v>0</v>
      </c>
      <c r="F253">
        <v>28</v>
      </c>
      <c r="G253">
        <v>0.28399999999999997</v>
      </c>
      <c r="H253">
        <v>27</v>
      </c>
      <c r="I253">
        <v>0</v>
      </c>
    </row>
    <row r="254" spans="1:9" x14ac:dyDescent="0.3">
      <c r="A254">
        <v>2</v>
      </c>
      <c r="B254">
        <v>90</v>
      </c>
      <c r="C254">
        <v>80</v>
      </c>
      <c r="D254">
        <v>14</v>
      </c>
      <c r="E254">
        <v>55</v>
      </c>
      <c r="F254">
        <v>24.4</v>
      </c>
      <c r="G254">
        <v>0.249</v>
      </c>
      <c r="H254">
        <v>24</v>
      </c>
      <c r="I254">
        <v>0</v>
      </c>
    </row>
    <row r="255" spans="1:9" x14ac:dyDescent="0.3">
      <c r="A255">
        <v>0</v>
      </c>
      <c r="B255">
        <v>86</v>
      </c>
      <c r="C255">
        <v>68</v>
      </c>
      <c r="D255">
        <v>32</v>
      </c>
      <c r="E255">
        <v>0</v>
      </c>
      <c r="F255">
        <v>35.799999999999997</v>
      </c>
      <c r="G255">
        <v>0.23799999999999999</v>
      </c>
      <c r="H255">
        <v>25</v>
      </c>
      <c r="I255">
        <v>0</v>
      </c>
    </row>
    <row r="256" spans="1:9" x14ac:dyDescent="0.3">
      <c r="A256">
        <v>12</v>
      </c>
      <c r="B256">
        <v>92</v>
      </c>
      <c r="C256">
        <v>62</v>
      </c>
      <c r="D256">
        <v>7</v>
      </c>
      <c r="E256">
        <v>258</v>
      </c>
      <c r="F256">
        <v>27.6</v>
      </c>
      <c r="G256">
        <v>0.92600000000000005</v>
      </c>
      <c r="H256">
        <v>44</v>
      </c>
      <c r="I256">
        <v>1</v>
      </c>
    </row>
    <row r="257" spans="1:9" x14ac:dyDescent="0.3">
      <c r="A257">
        <v>1</v>
      </c>
      <c r="B257">
        <v>113</v>
      </c>
      <c r="C257">
        <v>64</v>
      </c>
      <c r="D257">
        <v>35</v>
      </c>
      <c r="E257">
        <v>0</v>
      </c>
      <c r="F257">
        <v>33.6</v>
      </c>
      <c r="G257">
        <v>0.54300000000000004</v>
      </c>
      <c r="H257">
        <v>21</v>
      </c>
      <c r="I257">
        <v>1</v>
      </c>
    </row>
    <row r="258" spans="1:9" x14ac:dyDescent="0.3">
      <c r="A258">
        <v>3</v>
      </c>
      <c r="B258">
        <v>111</v>
      </c>
      <c r="C258">
        <v>56</v>
      </c>
      <c r="D258">
        <v>39</v>
      </c>
      <c r="E258">
        <v>0</v>
      </c>
      <c r="F258">
        <v>30.1</v>
      </c>
      <c r="G258">
        <v>0.55700000000000005</v>
      </c>
      <c r="H258">
        <v>30</v>
      </c>
      <c r="I258">
        <v>0</v>
      </c>
    </row>
    <row r="259" spans="1:9" x14ac:dyDescent="0.3">
      <c r="A259">
        <v>2</v>
      </c>
      <c r="B259">
        <v>114</v>
      </c>
      <c r="C259">
        <v>68</v>
      </c>
      <c r="D259">
        <v>22</v>
      </c>
      <c r="E259">
        <v>0</v>
      </c>
      <c r="F259">
        <v>28.7</v>
      </c>
      <c r="G259">
        <v>9.1999999999999998E-2</v>
      </c>
      <c r="H259">
        <v>25</v>
      </c>
      <c r="I259">
        <v>0</v>
      </c>
    </row>
    <row r="260" spans="1:9" x14ac:dyDescent="0.3">
      <c r="A260">
        <v>1</v>
      </c>
      <c r="B260">
        <v>193</v>
      </c>
      <c r="C260">
        <v>50</v>
      </c>
      <c r="D260">
        <v>16</v>
      </c>
      <c r="E260">
        <v>375</v>
      </c>
      <c r="F260">
        <v>25.9</v>
      </c>
      <c r="G260">
        <v>0.65500000000000003</v>
      </c>
      <c r="H260">
        <v>24</v>
      </c>
      <c r="I260">
        <v>0</v>
      </c>
    </row>
    <row r="261" spans="1:9" x14ac:dyDescent="0.3">
      <c r="A261">
        <v>11</v>
      </c>
      <c r="B261">
        <v>155</v>
      </c>
      <c r="C261">
        <v>76</v>
      </c>
      <c r="D261">
        <v>28</v>
      </c>
      <c r="E261">
        <v>150</v>
      </c>
      <c r="F261">
        <v>33.299999999999997</v>
      </c>
      <c r="G261">
        <v>1.353</v>
      </c>
      <c r="H261">
        <v>51</v>
      </c>
      <c r="I261">
        <v>1</v>
      </c>
    </row>
    <row r="262" spans="1:9" x14ac:dyDescent="0.3">
      <c r="A262">
        <v>3</v>
      </c>
      <c r="B262">
        <v>191</v>
      </c>
      <c r="C262">
        <v>68</v>
      </c>
      <c r="D262">
        <v>15</v>
      </c>
      <c r="E262">
        <v>130</v>
      </c>
      <c r="F262">
        <v>30.9</v>
      </c>
      <c r="G262">
        <v>0.29899999999999999</v>
      </c>
      <c r="H262">
        <v>34</v>
      </c>
      <c r="I262">
        <v>0</v>
      </c>
    </row>
    <row r="263" spans="1:9" x14ac:dyDescent="0.3">
      <c r="A263">
        <v>3</v>
      </c>
      <c r="B263">
        <v>141</v>
      </c>
      <c r="C263">
        <v>0</v>
      </c>
      <c r="D263">
        <v>0</v>
      </c>
      <c r="E263">
        <v>0</v>
      </c>
      <c r="F263">
        <v>30</v>
      </c>
      <c r="G263">
        <v>0.76100000000000001</v>
      </c>
      <c r="H263">
        <v>27</v>
      </c>
      <c r="I263">
        <v>1</v>
      </c>
    </row>
    <row r="264" spans="1:9" x14ac:dyDescent="0.3">
      <c r="A264">
        <v>4</v>
      </c>
      <c r="B264">
        <v>95</v>
      </c>
      <c r="C264">
        <v>70</v>
      </c>
      <c r="D264">
        <v>32</v>
      </c>
      <c r="E264">
        <v>0</v>
      </c>
      <c r="F264">
        <v>32.1</v>
      </c>
      <c r="G264">
        <v>0.61199999999999999</v>
      </c>
      <c r="H264">
        <v>24</v>
      </c>
      <c r="I264">
        <v>0</v>
      </c>
    </row>
    <row r="265" spans="1:9" x14ac:dyDescent="0.3">
      <c r="A265">
        <v>3</v>
      </c>
      <c r="B265">
        <v>142</v>
      </c>
      <c r="C265">
        <v>80</v>
      </c>
      <c r="D265">
        <v>15</v>
      </c>
      <c r="E265">
        <v>0</v>
      </c>
      <c r="F265">
        <v>32.4</v>
      </c>
      <c r="G265">
        <v>0.2</v>
      </c>
      <c r="H265">
        <v>63</v>
      </c>
      <c r="I265">
        <v>0</v>
      </c>
    </row>
    <row r="266" spans="1:9" x14ac:dyDescent="0.3">
      <c r="A266">
        <v>4</v>
      </c>
      <c r="B266">
        <v>123</v>
      </c>
      <c r="C266">
        <v>62</v>
      </c>
      <c r="D266">
        <v>0</v>
      </c>
      <c r="E266">
        <v>0</v>
      </c>
      <c r="F266">
        <v>32</v>
      </c>
      <c r="G266">
        <v>0.22600000000000001</v>
      </c>
      <c r="H266">
        <v>35</v>
      </c>
      <c r="I266">
        <v>1</v>
      </c>
    </row>
    <row r="267" spans="1:9" x14ac:dyDescent="0.3">
      <c r="A267">
        <v>5</v>
      </c>
      <c r="B267">
        <v>96</v>
      </c>
      <c r="C267">
        <v>74</v>
      </c>
      <c r="D267">
        <v>18</v>
      </c>
      <c r="E267">
        <v>67</v>
      </c>
      <c r="F267">
        <v>33.6</v>
      </c>
      <c r="G267">
        <v>0.997</v>
      </c>
      <c r="H267">
        <v>43</v>
      </c>
      <c r="I267">
        <v>0</v>
      </c>
    </row>
    <row r="268" spans="1:9" x14ac:dyDescent="0.3">
      <c r="A268">
        <v>0</v>
      </c>
      <c r="B268">
        <v>138</v>
      </c>
      <c r="C268">
        <v>0</v>
      </c>
      <c r="D268">
        <v>0</v>
      </c>
      <c r="E268">
        <v>0</v>
      </c>
      <c r="F268">
        <v>36.299999999999997</v>
      </c>
      <c r="G268">
        <v>0.93300000000000005</v>
      </c>
      <c r="H268">
        <v>25</v>
      </c>
      <c r="I268">
        <v>1</v>
      </c>
    </row>
    <row r="269" spans="1:9" x14ac:dyDescent="0.3">
      <c r="A269">
        <v>2</v>
      </c>
      <c r="B269">
        <v>128</v>
      </c>
      <c r="C269">
        <v>64</v>
      </c>
      <c r="D269">
        <v>42</v>
      </c>
      <c r="E269">
        <v>0</v>
      </c>
      <c r="F269">
        <v>40</v>
      </c>
      <c r="G269">
        <v>1.101</v>
      </c>
      <c r="H269">
        <v>24</v>
      </c>
      <c r="I269">
        <v>0</v>
      </c>
    </row>
    <row r="270" spans="1:9" x14ac:dyDescent="0.3">
      <c r="A270">
        <v>0</v>
      </c>
      <c r="B270">
        <v>102</v>
      </c>
      <c r="C270">
        <v>52</v>
      </c>
      <c r="D270">
        <v>0</v>
      </c>
      <c r="E270">
        <v>0</v>
      </c>
      <c r="F270">
        <v>25.1</v>
      </c>
      <c r="G270">
        <v>7.8E-2</v>
      </c>
      <c r="H270">
        <v>21</v>
      </c>
      <c r="I270">
        <v>0</v>
      </c>
    </row>
    <row r="271" spans="1:9" x14ac:dyDescent="0.3">
      <c r="A271">
        <v>2</v>
      </c>
      <c r="B271">
        <v>146</v>
      </c>
      <c r="C271">
        <v>0</v>
      </c>
      <c r="D271">
        <v>0</v>
      </c>
      <c r="E271">
        <v>0</v>
      </c>
      <c r="F271">
        <v>27.5</v>
      </c>
      <c r="G271">
        <v>0.24</v>
      </c>
      <c r="H271">
        <v>28</v>
      </c>
      <c r="I271">
        <v>1</v>
      </c>
    </row>
    <row r="272" spans="1:9" x14ac:dyDescent="0.3">
      <c r="A272">
        <v>10</v>
      </c>
      <c r="B272">
        <v>101</v>
      </c>
      <c r="C272">
        <v>86</v>
      </c>
      <c r="D272">
        <v>37</v>
      </c>
      <c r="E272">
        <v>0</v>
      </c>
      <c r="F272">
        <v>45.6</v>
      </c>
      <c r="G272">
        <v>1.1359999999999999</v>
      </c>
      <c r="H272">
        <v>38</v>
      </c>
      <c r="I272">
        <v>1</v>
      </c>
    </row>
    <row r="273" spans="1:9" x14ac:dyDescent="0.3">
      <c r="A273">
        <v>2</v>
      </c>
      <c r="B273">
        <v>108</v>
      </c>
      <c r="C273">
        <v>62</v>
      </c>
      <c r="D273">
        <v>32</v>
      </c>
      <c r="E273">
        <v>56</v>
      </c>
      <c r="F273">
        <v>25.2</v>
      </c>
      <c r="G273">
        <v>0.128</v>
      </c>
      <c r="H273">
        <v>21</v>
      </c>
      <c r="I273">
        <v>0</v>
      </c>
    </row>
    <row r="274" spans="1:9" x14ac:dyDescent="0.3">
      <c r="A274">
        <v>3</v>
      </c>
      <c r="B274">
        <v>122</v>
      </c>
      <c r="C274">
        <v>78</v>
      </c>
      <c r="D274">
        <v>0</v>
      </c>
      <c r="E274">
        <v>0</v>
      </c>
      <c r="F274">
        <v>23</v>
      </c>
      <c r="G274">
        <v>0.254</v>
      </c>
      <c r="H274">
        <v>40</v>
      </c>
      <c r="I274">
        <v>0</v>
      </c>
    </row>
    <row r="275" spans="1:9" x14ac:dyDescent="0.3">
      <c r="A275">
        <v>1</v>
      </c>
      <c r="B275">
        <v>71</v>
      </c>
      <c r="C275">
        <v>78</v>
      </c>
      <c r="D275">
        <v>50</v>
      </c>
      <c r="E275">
        <v>45</v>
      </c>
      <c r="F275">
        <v>33.200000000000003</v>
      </c>
      <c r="G275">
        <v>0.42199999999999999</v>
      </c>
      <c r="H275">
        <v>21</v>
      </c>
      <c r="I275">
        <v>0</v>
      </c>
    </row>
    <row r="276" spans="1:9" x14ac:dyDescent="0.3">
      <c r="A276">
        <v>13</v>
      </c>
      <c r="B276">
        <v>106</v>
      </c>
      <c r="C276">
        <v>70</v>
      </c>
      <c r="D276">
        <v>0</v>
      </c>
      <c r="E276">
        <v>0</v>
      </c>
      <c r="F276">
        <v>34.200000000000003</v>
      </c>
      <c r="G276">
        <v>0.251</v>
      </c>
      <c r="H276">
        <v>52</v>
      </c>
      <c r="I276">
        <v>0</v>
      </c>
    </row>
    <row r="277" spans="1:9" x14ac:dyDescent="0.3">
      <c r="A277">
        <v>2</v>
      </c>
      <c r="B277">
        <v>100</v>
      </c>
      <c r="C277">
        <v>70</v>
      </c>
      <c r="D277">
        <v>52</v>
      </c>
      <c r="E277">
        <v>57</v>
      </c>
      <c r="F277">
        <v>40.5</v>
      </c>
      <c r="G277">
        <v>0.67700000000000005</v>
      </c>
      <c r="H277">
        <v>25</v>
      </c>
      <c r="I277">
        <v>0</v>
      </c>
    </row>
    <row r="278" spans="1:9" x14ac:dyDescent="0.3">
      <c r="A278">
        <v>7</v>
      </c>
      <c r="B278">
        <v>106</v>
      </c>
      <c r="C278">
        <v>60</v>
      </c>
      <c r="D278">
        <v>24</v>
      </c>
      <c r="E278">
        <v>0</v>
      </c>
      <c r="F278">
        <v>26.5</v>
      </c>
      <c r="G278">
        <v>0.29599999999999999</v>
      </c>
      <c r="H278">
        <v>29</v>
      </c>
      <c r="I278">
        <v>1</v>
      </c>
    </row>
    <row r="279" spans="1:9" x14ac:dyDescent="0.3">
      <c r="A279">
        <v>0</v>
      </c>
      <c r="B279">
        <v>104</v>
      </c>
      <c r="C279">
        <v>64</v>
      </c>
      <c r="D279">
        <v>23</v>
      </c>
      <c r="E279">
        <v>116</v>
      </c>
      <c r="F279">
        <v>27.8</v>
      </c>
      <c r="G279">
        <v>0.45400000000000001</v>
      </c>
      <c r="H279">
        <v>23</v>
      </c>
      <c r="I279">
        <v>0</v>
      </c>
    </row>
    <row r="280" spans="1:9" x14ac:dyDescent="0.3">
      <c r="A280">
        <v>5</v>
      </c>
      <c r="B280">
        <v>114</v>
      </c>
      <c r="C280">
        <v>74</v>
      </c>
      <c r="D280">
        <v>0</v>
      </c>
      <c r="E280">
        <v>0</v>
      </c>
      <c r="F280">
        <v>24.9</v>
      </c>
      <c r="G280">
        <v>0.74399999999999999</v>
      </c>
      <c r="H280">
        <v>57</v>
      </c>
      <c r="I280">
        <v>0</v>
      </c>
    </row>
    <row r="281" spans="1:9" x14ac:dyDescent="0.3">
      <c r="A281">
        <v>2</v>
      </c>
      <c r="B281">
        <v>108</v>
      </c>
      <c r="C281">
        <v>62</v>
      </c>
      <c r="D281">
        <v>10</v>
      </c>
      <c r="E281">
        <v>278</v>
      </c>
      <c r="F281">
        <v>25.3</v>
      </c>
      <c r="G281">
        <v>0.88100000000000001</v>
      </c>
      <c r="H281">
        <v>22</v>
      </c>
      <c r="I281">
        <v>0</v>
      </c>
    </row>
    <row r="282" spans="1:9" x14ac:dyDescent="0.3">
      <c r="A282">
        <v>0</v>
      </c>
      <c r="B282">
        <v>146</v>
      </c>
      <c r="C282">
        <v>70</v>
      </c>
      <c r="D282">
        <v>0</v>
      </c>
      <c r="E282">
        <v>0</v>
      </c>
      <c r="F282">
        <v>37.9</v>
      </c>
      <c r="G282">
        <v>0.33400000000000002</v>
      </c>
      <c r="H282">
        <v>28</v>
      </c>
      <c r="I282">
        <v>1</v>
      </c>
    </row>
    <row r="283" spans="1:9" x14ac:dyDescent="0.3">
      <c r="A283">
        <v>10</v>
      </c>
      <c r="B283">
        <v>129</v>
      </c>
      <c r="C283">
        <v>76</v>
      </c>
      <c r="D283">
        <v>28</v>
      </c>
      <c r="E283">
        <v>122</v>
      </c>
      <c r="F283">
        <v>35.9</v>
      </c>
      <c r="G283">
        <v>0.28000000000000003</v>
      </c>
      <c r="H283">
        <v>39</v>
      </c>
      <c r="I283">
        <v>0</v>
      </c>
    </row>
    <row r="284" spans="1:9" x14ac:dyDescent="0.3">
      <c r="A284">
        <v>7</v>
      </c>
      <c r="B284">
        <v>133</v>
      </c>
      <c r="C284">
        <v>88</v>
      </c>
      <c r="D284">
        <v>15</v>
      </c>
      <c r="E284">
        <v>155</v>
      </c>
      <c r="F284">
        <v>32.4</v>
      </c>
      <c r="G284">
        <v>0.26200000000000001</v>
      </c>
      <c r="H284">
        <v>37</v>
      </c>
      <c r="I284">
        <v>0</v>
      </c>
    </row>
    <row r="285" spans="1:9" x14ac:dyDescent="0.3">
      <c r="A285">
        <v>7</v>
      </c>
      <c r="B285">
        <v>161</v>
      </c>
      <c r="C285">
        <v>86</v>
      </c>
      <c r="D285">
        <v>0</v>
      </c>
      <c r="E285">
        <v>0</v>
      </c>
      <c r="F285">
        <v>30.4</v>
      </c>
      <c r="G285">
        <v>0.16500000000000001</v>
      </c>
      <c r="H285">
        <v>47</v>
      </c>
      <c r="I285">
        <v>1</v>
      </c>
    </row>
    <row r="286" spans="1:9" x14ac:dyDescent="0.3">
      <c r="A286">
        <v>2</v>
      </c>
      <c r="B286">
        <v>108</v>
      </c>
      <c r="C286">
        <v>80</v>
      </c>
      <c r="D286">
        <v>0</v>
      </c>
      <c r="E286">
        <v>0</v>
      </c>
      <c r="F286">
        <v>27</v>
      </c>
      <c r="G286">
        <v>0.25900000000000001</v>
      </c>
      <c r="H286">
        <v>52</v>
      </c>
      <c r="I286">
        <v>1</v>
      </c>
    </row>
    <row r="287" spans="1:9" x14ac:dyDescent="0.3">
      <c r="A287">
        <v>7</v>
      </c>
      <c r="B287">
        <v>136</v>
      </c>
      <c r="C287">
        <v>74</v>
      </c>
      <c r="D287">
        <v>26</v>
      </c>
      <c r="E287">
        <v>135</v>
      </c>
      <c r="F287">
        <v>26</v>
      </c>
      <c r="G287">
        <v>0.64700000000000002</v>
      </c>
      <c r="H287">
        <v>51</v>
      </c>
      <c r="I287">
        <v>0</v>
      </c>
    </row>
    <row r="288" spans="1:9" x14ac:dyDescent="0.3">
      <c r="A288">
        <v>5</v>
      </c>
      <c r="B288">
        <v>155</v>
      </c>
      <c r="C288">
        <v>84</v>
      </c>
      <c r="D288">
        <v>44</v>
      </c>
      <c r="E288">
        <v>545</v>
      </c>
      <c r="F288">
        <v>38.700000000000003</v>
      </c>
      <c r="G288">
        <v>0.61899999999999999</v>
      </c>
      <c r="H288">
        <v>34</v>
      </c>
      <c r="I288">
        <v>0</v>
      </c>
    </row>
    <row r="289" spans="1:9" x14ac:dyDescent="0.3">
      <c r="A289">
        <v>1</v>
      </c>
      <c r="B289">
        <v>119</v>
      </c>
      <c r="C289">
        <v>86</v>
      </c>
      <c r="D289">
        <v>39</v>
      </c>
      <c r="E289">
        <v>220</v>
      </c>
      <c r="F289">
        <v>45.6</v>
      </c>
      <c r="G289">
        <v>0.80800000000000005</v>
      </c>
      <c r="H289">
        <v>29</v>
      </c>
      <c r="I289">
        <v>1</v>
      </c>
    </row>
    <row r="290" spans="1:9" x14ac:dyDescent="0.3">
      <c r="A290">
        <v>4</v>
      </c>
      <c r="B290">
        <v>96</v>
      </c>
      <c r="C290">
        <v>56</v>
      </c>
      <c r="D290">
        <v>17</v>
      </c>
      <c r="E290">
        <v>49</v>
      </c>
      <c r="F290">
        <v>20.8</v>
      </c>
      <c r="G290">
        <v>0.34</v>
      </c>
      <c r="H290">
        <v>26</v>
      </c>
      <c r="I290">
        <v>0</v>
      </c>
    </row>
    <row r="291" spans="1:9" x14ac:dyDescent="0.3">
      <c r="A291">
        <v>5</v>
      </c>
      <c r="B291">
        <v>108</v>
      </c>
      <c r="C291">
        <v>72</v>
      </c>
      <c r="D291">
        <v>43</v>
      </c>
      <c r="E291">
        <v>75</v>
      </c>
      <c r="F291">
        <v>36.1</v>
      </c>
      <c r="G291">
        <v>0.26300000000000001</v>
      </c>
      <c r="H291">
        <v>33</v>
      </c>
      <c r="I291">
        <v>0</v>
      </c>
    </row>
    <row r="292" spans="1:9" x14ac:dyDescent="0.3">
      <c r="A292">
        <v>0</v>
      </c>
      <c r="B292">
        <v>78</v>
      </c>
      <c r="C292">
        <v>88</v>
      </c>
      <c r="D292">
        <v>29</v>
      </c>
      <c r="E292">
        <v>40</v>
      </c>
      <c r="F292">
        <v>36.9</v>
      </c>
      <c r="G292">
        <v>0.434</v>
      </c>
      <c r="H292">
        <v>21</v>
      </c>
      <c r="I292">
        <v>0</v>
      </c>
    </row>
    <row r="293" spans="1:9" x14ac:dyDescent="0.3">
      <c r="A293">
        <v>0</v>
      </c>
      <c r="B293">
        <v>107</v>
      </c>
      <c r="C293">
        <v>62</v>
      </c>
      <c r="D293">
        <v>30</v>
      </c>
      <c r="E293">
        <v>74</v>
      </c>
      <c r="F293">
        <v>36.6</v>
      </c>
      <c r="G293">
        <v>0.75700000000000001</v>
      </c>
      <c r="H293">
        <v>25</v>
      </c>
      <c r="I293">
        <v>1</v>
      </c>
    </row>
    <row r="294" spans="1:9" x14ac:dyDescent="0.3">
      <c r="A294">
        <v>2</v>
      </c>
      <c r="B294">
        <v>128</v>
      </c>
      <c r="C294">
        <v>78</v>
      </c>
      <c r="D294">
        <v>37</v>
      </c>
      <c r="E294">
        <v>182</v>
      </c>
      <c r="F294">
        <v>43.3</v>
      </c>
      <c r="G294">
        <v>1.224</v>
      </c>
      <c r="H294">
        <v>31</v>
      </c>
      <c r="I294">
        <v>1</v>
      </c>
    </row>
    <row r="295" spans="1:9" x14ac:dyDescent="0.3">
      <c r="A295">
        <v>1</v>
      </c>
      <c r="B295">
        <v>128</v>
      </c>
      <c r="C295">
        <v>48</v>
      </c>
      <c r="D295">
        <v>45</v>
      </c>
      <c r="E295">
        <v>194</v>
      </c>
      <c r="F295">
        <v>40.5</v>
      </c>
      <c r="G295">
        <v>0.61299999999999999</v>
      </c>
      <c r="H295">
        <v>24</v>
      </c>
      <c r="I295">
        <v>1</v>
      </c>
    </row>
    <row r="296" spans="1:9" x14ac:dyDescent="0.3">
      <c r="A296">
        <v>0</v>
      </c>
      <c r="B296">
        <v>161</v>
      </c>
      <c r="C296">
        <v>50</v>
      </c>
      <c r="D296">
        <v>0</v>
      </c>
      <c r="E296">
        <v>0</v>
      </c>
      <c r="F296">
        <v>21.9</v>
      </c>
      <c r="G296">
        <v>0.254</v>
      </c>
      <c r="H296">
        <v>65</v>
      </c>
      <c r="I296">
        <v>0</v>
      </c>
    </row>
    <row r="297" spans="1:9" x14ac:dyDescent="0.3">
      <c r="A297">
        <v>6</v>
      </c>
      <c r="B297">
        <v>151</v>
      </c>
      <c r="C297">
        <v>62</v>
      </c>
      <c r="D297">
        <v>31</v>
      </c>
      <c r="E297">
        <v>120</v>
      </c>
      <c r="F297">
        <v>35.5</v>
      </c>
      <c r="G297">
        <v>0.69199999999999995</v>
      </c>
      <c r="H297">
        <v>28</v>
      </c>
      <c r="I297">
        <v>0</v>
      </c>
    </row>
    <row r="298" spans="1:9" x14ac:dyDescent="0.3">
      <c r="A298">
        <v>2</v>
      </c>
      <c r="B298">
        <v>146</v>
      </c>
      <c r="C298">
        <v>70</v>
      </c>
      <c r="D298">
        <v>38</v>
      </c>
      <c r="E298">
        <v>360</v>
      </c>
      <c r="F298">
        <v>28</v>
      </c>
      <c r="G298">
        <v>0.33700000000000002</v>
      </c>
      <c r="H298">
        <v>29</v>
      </c>
      <c r="I298">
        <v>1</v>
      </c>
    </row>
    <row r="299" spans="1:9" x14ac:dyDescent="0.3">
      <c r="A299">
        <v>0</v>
      </c>
      <c r="B299">
        <v>126</v>
      </c>
      <c r="C299">
        <v>84</v>
      </c>
      <c r="D299">
        <v>29</v>
      </c>
      <c r="E299">
        <v>215</v>
      </c>
      <c r="F299">
        <v>30.7</v>
      </c>
      <c r="G299">
        <v>0.52</v>
      </c>
      <c r="H299">
        <v>24</v>
      </c>
      <c r="I299">
        <v>0</v>
      </c>
    </row>
    <row r="300" spans="1:9" x14ac:dyDescent="0.3">
      <c r="A300">
        <v>14</v>
      </c>
      <c r="B300">
        <v>100</v>
      </c>
      <c r="C300">
        <v>78</v>
      </c>
      <c r="D300">
        <v>25</v>
      </c>
      <c r="E300">
        <v>184</v>
      </c>
      <c r="F300">
        <v>36.6</v>
      </c>
      <c r="G300">
        <v>0.41199999999999998</v>
      </c>
      <c r="H300">
        <v>46</v>
      </c>
      <c r="I300">
        <v>1</v>
      </c>
    </row>
    <row r="301" spans="1:9" x14ac:dyDescent="0.3">
      <c r="A301">
        <v>8</v>
      </c>
      <c r="B301">
        <v>112</v>
      </c>
      <c r="C301">
        <v>72</v>
      </c>
      <c r="D301">
        <v>0</v>
      </c>
      <c r="E301">
        <v>0</v>
      </c>
      <c r="F301">
        <v>23.6</v>
      </c>
      <c r="G301">
        <v>0.84</v>
      </c>
      <c r="H301">
        <v>58</v>
      </c>
      <c r="I301">
        <v>0</v>
      </c>
    </row>
    <row r="302" spans="1:9" x14ac:dyDescent="0.3">
      <c r="A302">
        <v>0</v>
      </c>
      <c r="B302">
        <v>167</v>
      </c>
      <c r="C302">
        <v>0</v>
      </c>
      <c r="D302">
        <v>0</v>
      </c>
      <c r="E302">
        <v>0</v>
      </c>
      <c r="F302">
        <v>32.299999999999997</v>
      </c>
      <c r="G302">
        <v>0.83899999999999997</v>
      </c>
      <c r="H302">
        <v>30</v>
      </c>
      <c r="I302">
        <v>1</v>
      </c>
    </row>
    <row r="303" spans="1:9" x14ac:dyDescent="0.3">
      <c r="A303">
        <v>2</v>
      </c>
      <c r="B303">
        <v>144</v>
      </c>
      <c r="C303">
        <v>58</v>
      </c>
      <c r="D303">
        <v>33</v>
      </c>
      <c r="E303">
        <v>135</v>
      </c>
      <c r="F303">
        <v>31.6</v>
      </c>
      <c r="G303">
        <v>0.42199999999999999</v>
      </c>
      <c r="H303">
        <v>25</v>
      </c>
      <c r="I303">
        <v>1</v>
      </c>
    </row>
    <row r="304" spans="1:9" x14ac:dyDescent="0.3">
      <c r="A304">
        <v>5</v>
      </c>
      <c r="B304">
        <v>77</v>
      </c>
      <c r="C304">
        <v>82</v>
      </c>
      <c r="D304">
        <v>41</v>
      </c>
      <c r="E304">
        <v>42</v>
      </c>
      <c r="F304">
        <v>35.799999999999997</v>
      </c>
      <c r="G304">
        <v>0.156</v>
      </c>
      <c r="H304">
        <v>35</v>
      </c>
      <c r="I304">
        <v>0</v>
      </c>
    </row>
    <row r="305" spans="1:9" x14ac:dyDescent="0.3">
      <c r="A305">
        <v>5</v>
      </c>
      <c r="B305">
        <v>115</v>
      </c>
      <c r="C305">
        <v>98</v>
      </c>
      <c r="D305">
        <v>0</v>
      </c>
      <c r="E305">
        <v>0</v>
      </c>
      <c r="F305">
        <v>52.9</v>
      </c>
      <c r="G305">
        <v>0.20899999999999999</v>
      </c>
      <c r="H305">
        <v>28</v>
      </c>
      <c r="I305">
        <v>1</v>
      </c>
    </row>
    <row r="306" spans="1:9" x14ac:dyDescent="0.3">
      <c r="A306">
        <v>3</v>
      </c>
      <c r="B306">
        <v>150</v>
      </c>
      <c r="C306">
        <v>76</v>
      </c>
      <c r="D306">
        <v>0</v>
      </c>
      <c r="E306">
        <v>0</v>
      </c>
      <c r="F306">
        <v>21</v>
      </c>
      <c r="G306">
        <v>0.20699999999999999</v>
      </c>
      <c r="H306">
        <v>37</v>
      </c>
      <c r="I306">
        <v>0</v>
      </c>
    </row>
    <row r="307" spans="1:9" x14ac:dyDescent="0.3">
      <c r="A307">
        <v>2</v>
      </c>
      <c r="B307">
        <v>120</v>
      </c>
      <c r="C307">
        <v>76</v>
      </c>
      <c r="D307">
        <v>37</v>
      </c>
      <c r="E307">
        <v>105</v>
      </c>
      <c r="F307">
        <v>39.700000000000003</v>
      </c>
      <c r="G307">
        <v>0.215</v>
      </c>
      <c r="H307">
        <v>29</v>
      </c>
      <c r="I307">
        <v>0</v>
      </c>
    </row>
    <row r="308" spans="1:9" x14ac:dyDescent="0.3">
      <c r="A308">
        <v>10</v>
      </c>
      <c r="B308">
        <v>161</v>
      </c>
      <c r="C308">
        <v>68</v>
      </c>
      <c r="D308">
        <v>23</v>
      </c>
      <c r="E308">
        <v>132</v>
      </c>
      <c r="F308">
        <v>25.5</v>
      </c>
      <c r="G308">
        <v>0.32600000000000001</v>
      </c>
      <c r="H308">
        <v>47</v>
      </c>
      <c r="I308">
        <v>1</v>
      </c>
    </row>
    <row r="309" spans="1:9" x14ac:dyDescent="0.3">
      <c r="A309">
        <v>0</v>
      </c>
      <c r="B309">
        <v>137</v>
      </c>
      <c r="C309">
        <v>68</v>
      </c>
      <c r="D309">
        <v>14</v>
      </c>
      <c r="E309">
        <v>148</v>
      </c>
      <c r="F309">
        <v>24.8</v>
      </c>
      <c r="G309">
        <v>0.14299999999999999</v>
      </c>
      <c r="H309">
        <v>21</v>
      </c>
      <c r="I309">
        <v>0</v>
      </c>
    </row>
    <row r="310" spans="1:9" x14ac:dyDescent="0.3">
      <c r="A310">
        <v>0</v>
      </c>
      <c r="B310">
        <v>128</v>
      </c>
      <c r="C310">
        <v>68</v>
      </c>
      <c r="D310">
        <v>19</v>
      </c>
      <c r="E310">
        <v>180</v>
      </c>
      <c r="F310">
        <v>30.5</v>
      </c>
      <c r="G310">
        <v>1.391</v>
      </c>
      <c r="H310">
        <v>25</v>
      </c>
      <c r="I310">
        <v>1</v>
      </c>
    </row>
    <row r="311" spans="1:9" x14ac:dyDescent="0.3">
      <c r="A311">
        <v>2</v>
      </c>
      <c r="B311">
        <v>124</v>
      </c>
      <c r="C311">
        <v>68</v>
      </c>
      <c r="D311">
        <v>28</v>
      </c>
      <c r="E311">
        <v>205</v>
      </c>
      <c r="F311">
        <v>32.9</v>
      </c>
      <c r="G311">
        <v>0.875</v>
      </c>
      <c r="H311">
        <v>30</v>
      </c>
      <c r="I311">
        <v>1</v>
      </c>
    </row>
    <row r="312" spans="1:9" x14ac:dyDescent="0.3">
      <c r="A312">
        <v>6</v>
      </c>
      <c r="B312">
        <v>80</v>
      </c>
      <c r="C312">
        <v>66</v>
      </c>
      <c r="D312">
        <v>30</v>
      </c>
      <c r="E312">
        <v>0</v>
      </c>
      <c r="F312">
        <v>26.2</v>
      </c>
      <c r="G312">
        <v>0.313</v>
      </c>
      <c r="H312">
        <v>41</v>
      </c>
      <c r="I312">
        <v>0</v>
      </c>
    </row>
    <row r="313" spans="1:9" x14ac:dyDescent="0.3">
      <c r="A313">
        <v>0</v>
      </c>
      <c r="B313">
        <v>106</v>
      </c>
      <c r="C313">
        <v>70</v>
      </c>
      <c r="D313">
        <v>37</v>
      </c>
      <c r="E313">
        <v>148</v>
      </c>
      <c r="F313">
        <v>39.4</v>
      </c>
      <c r="G313">
        <v>0.60499999999999998</v>
      </c>
      <c r="H313">
        <v>22</v>
      </c>
      <c r="I313">
        <v>0</v>
      </c>
    </row>
    <row r="314" spans="1:9" x14ac:dyDescent="0.3">
      <c r="A314">
        <v>2</v>
      </c>
      <c r="B314">
        <v>155</v>
      </c>
      <c r="C314">
        <v>74</v>
      </c>
      <c r="D314">
        <v>17</v>
      </c>
      <c r="E314">
        <v>96</v>
      </c>
      <c r="F314">
        <v>26.6</v>
      </c>
      <c r="G314">
        <v>0.433</v>
      </c>
      <c r="H314">
        <v>27</v>
      </c>
      <c r="I314">
        <v>1</v>
      </c>
    </row>
    <row r="315" spans="1:9" x14ac:dyDescent="0.3">
      <c r="A315">
        <v>3</v>
      </c>
      <c r="B315">
        <v>113</v>
      </c>
      <c r="C315">
        <v>50</v>
      </c>
      <c r="D315">
        <v>10</v>
      </c>
      <c r="E315">
        <v>85</v>
      </c>
      <c r="F315">
        <v>29.5</v>
      </c>
      <c r="G315">
        <v>0.626</v>
      </c>
      <c r="H315">
        <v>25</v>
      </c>
      <c r="I315">
        <v>0</v>
      </c>
    </row>
    <row r="316" spans="1:9" x14ac:dyDescent="0.3">
      <c r="A316">
        <v>7</v>
      </c>
      <c r="B316">
        <v>109</v>
      </c>
      <c r="C316">
        <v>80</v>
      </c>
      <c r="D316">
        <v>31</v>
      </c>
      <c r="E316">
        <v>0</v>
      </c>
      <c r="F316">
        <v>35.9</v>
      </c>
      <c r="G316">
        <v>1.127</v>
      </c>
      <c r="H316">
        <v>43</v>
      </c>
      <c r="I316">
        <v>1</v>
      </c>
    </row>
    <row r="317" spans="1:9" x14ac:dyDescent="0.3">
      <c r="A317">
        <v>2</v>
      </c>
      <c r="B317">
        <v>112</v>
      </c>
      <c r="C317">
        <v>68</v>
      </c>
      <c r="D317">
        <v>22</v>
      </c>
      <c r="E317">
        <v>94</v>
      </c>
      <c r="F317">
        <v>34.1</v>
      </c>
      <c r="G317">
        <v>0.315</v>
      </c>
      <c r="H317">
        <v>26</v>
      </c>
      <c r="I317">
        <v>0</v>
      </c>
    </row>
    <row r="318" spans="1:9" x14ac:dyDescent="0.3">
      <c r="A318">
        <v>3</v>
      </c>
      <c r="B318">
        <v>99</v>
      </c>
      <c r="C318">
        <v>80</v>
      </c>
      <c r="D318">
        <v>11</v>
      </c>
      <c r="E318">
        <v>64</v>
      </c>
      <c r="F318">
        <v>19.3</v>
      </c>
      <c r="G318">
        <v>0.28399999999999997</v>
      </c>
      <c r="H318">
        <v>30</v>
      </c>
      <c r="I318">
        <v>0</v>
      </c>
    </row>
    <row r="319" spans="1:9" x14ac:dyDescent="0.3">
      <c r="A319">
        <v>3</v>
      </c>
      <c r="B319">
        <v>182</v>
      </c>
      <c r="C319">
        <v>74</v>
      </c>
      <c r="D319">
        <v>0</v>
      </c>
      <c r="E319">
        <v>0</v>
      </c>
      <c r="F319">
        <v>30.5</v>
      </c>
      <c r="G319">
        <v>0.34499999999999997</v>
      </c>
      <c r="H319">
        <v>29</v>
      </c>
      <c r="I319">
        <v>1</v>
      </c>
    </row>
    <row r="320" spans="1:9" x14ac:dyDescent="0.3">
      <c r="A320">
        <v>3</v>
      </c>
      <c r="B320">
        <v>115</v>
      </c>
      <c r="C320">
        <v>66</v>
      </c>
      <c r="D320">
        <v>39</v>
      </c>
      <c r="E320">
        <v>140</v>
      </c>
      <c r="F320">
        <v>38.1</v>
      </c>
      <c r="G320">
        <v>0.15</v>
      </c>
      <c r="H320">
        <v>28</v>
      </c>
      <c r="I320">
        <v>0</v>
      </c>
    </row>
    <row r="321" spans="1:9" x14ac:dyDescent="0.3">
      <c r="A321">
        <v>6</v>
      </c>
      <c r="B321">
        <v>194</v>
      </c>
      <c r="C321">
        <v>78</v>
      </c>
      <c r="D321">
        <v>0</v>
      </c>
      <c r="E321">
        <v>0</v>
      </c>
      <c r="F321">
        <v>23.5</v>
      </c>
      <c r="G321">
        <v>0.129</v>
      </c>
      <c r="H321">
        <v>59</v>
      </c>
      <c r="I321">
        <v>1</v>
      </c>
    </row>
    <row r="322" spans="1:9" x14ac:dyDescent="0.3">
      <c r="A322">
        <v>4</v>
      </c>
      <c r="B322">
        <v>129</v>
      </c>
      <c r="C322">
        <v>60</v>
      </c>
      <c r="D322">
        <v>12</v>
      </c>
      <c r="E322">
        <v>231</v>
      </c>
      <c r="F322">
        <v>27.5</v>
      </c>
      <c r="G322">
        <v>0.52700000000000002</v>
      </c>
      <c r="H322">
        <v>31</v>
      </c>
      <c r="I322">
        <v>0</v>
      </c>
    </row>
    <row r="323" spans="1:9" x14ac:dyDescent="0.3">
      <c r="A323">
        <v>3</v>
      </c>
      <c r="B323">
        <v>112</v>
      </c>
      <c r="C323">
        <v>74</v>
      </c>
      <c r="D323">
        <v>30</v>
      </c>
      <c r="E323">
        <v>0</v>
      </c>
      <c r="F323">
        <v>31.6</v>
      </c>
      <c r="G323">
        <v>0.19700000000000001</v>
      </c>
      <c r="H323">
        <v>25</v>
      </c>
      <c r="I323">
        <v>1</v>
      </c>
    </row>
    <row r="324" spans="1:9" x14ac:dyDescent="0.3">
      <c r="A324">
        <v>0</v>
      </c>
      <c r="B324">
        <v>124</v>
      </c>
      <c r="C324">
        <v>70</v>
      </c>
      <c r="D324">
        <v>20</v>
      </c>
      <c r="E324">
        <v>0</v>
      </c>
      <c r="F324">
        <v>27.4</v>
      </c>
      <c r="G324">
        <v>0.254</v>
      </c>
      <c r="H324">
        <v>36</v>
      </c>
      <c r="I324">
        <v>1</v>
      </c>
    </row>
    <row r="325" spans="1:9" x14ac:dyDescent="0.3">
      <c r="A325">
        <v>13</v>
      </c>
      <c r="B325">
        <v>152</v>
      </c>
      <c r="C325">
        <v>90</v>
      </c>
      <c r="D325">
        <v>33</v>
      </c>
      <c r="E325">
        <v>29</v>
      </c>
      <c r="F325">
        <v>26.8</v>
      </c>
      <c r="G325">
        <v>0.73099999999999998</v>
      </c>
      <c r="H325">
        <v>43</v>
      </c>
      <c r="I325">
        <v>1</v>
      </c>
    </row>
    <row r="326" spans="1:9" x14ac:dyDescent="0.3">
      <c r="A326">
        <v>2</v>
      </c>
      <c r="B326">
        <v>112</v>
      </c>
      <c r="C326">
        <v>75</v>
      </c>
      <c r="D326">
        <v>32</v>
      </c>
      <c r="E326">
        <v>0</v>
      </c>
      <c r="F326">
        <v>35.700000000000003</v>
      </c>
      <c r="G326">
        <v>0.14799999999999999</v>
      </c>
      <c r="H326">
        <v>21</v>
      </c>
      <c r="I326">
        <v>0</v>
      </c>
    </row>
    <row r="327" spans="1:9" x14ac:dyDescent="0.3">
      <c r="A327">
        <v>1</v>
      </c>
      <c r="B327">
        <v>157</v>
      </c>
      <c r="C327">
        <v>72</v>
      </c>
      <c r="D327">
        <v>21</v>
      </c>
      <c r="E327">
        <v>168</v>
      </c>
      <c r="F327">
        <v>25.6</v>
      </c>
      <c r="G327">
        <v>0.123</v>
      </c>
      <c r="H327">
        <v>24</v>
      </c>
      <c r="I327">
        <v>0</v>
      </c>
    </row>
    <row r="328" spans="1:9" x14ac:dyDescent="0.3">
      <c r="A328">
        <v>1</v>
      </c>
      <c r="B328">
        <v>122</v>
      </c>
      <c r="C328">
        <v>64</v>
      </c>
      <c r="D328">
        <v>32</v>
      </c>
      <c r="E328">
        <v>156</v>
      </c>
      <c r="F328">
        <v>35.1</v>
      </c>
      <c r="G328">
        <v>0.69199999999999995</v>
      </c>
      <c r="H328">
        <v>30</v>
      </c>
      <c r="I328">
        <v>1</v>
      </c>
    </row>
    <row r="329" spans="1:9" x14ac:dyDescent="0.3">
      <c r="A329">
        <v>10</v>
      </c>
      <c r="B329">
        <v>179</v>
      </c>
      <c r="C329">
        <v>70</v>
      </c>
      <c r="D329">
        <v>0</v>
      </c>
      <c r="E329">
        <v>0</v>
      </c>
      <c r="F329">
        <v>35.1</v>
      </c>
      <c r="G329">
        <v>0.2</v>
      </c>
      <c r="H329">
        <v>37</v>
      </c>
      <c r="I329">
        <v>0</v>
      </c>
    </row>
    <row r="330" spans="1:9" x14ac:dyDescent="0.3">
      <c r="A330">
        <v>2</v>
      </c>
      <c r="B330">
        <v>102</v>
      </c>
      <c r="C330">
        <v>86</v>
      </c>
      <c r="D330">
        <v>36</v>
      </c>
      <c r="E330">
        <v>120</v>
      </c>
      <c r="F330">
        <v>45.5</v>
      </c>
      <c r="G330">
        <v>0.127</v>
      </c>
      <c r="H330">
        <v>23</v>
      </c>
      <c r="I330">
        <v>1</v>
      </c>
    </row>
    <row r="331" spans="1:9" x14ac:dyDescent="0.3">
      <c r="A331">
        <v>6</v>
      </c>
      <c r="B331">
        <v>105</v>
      </c>
      <c r="C331">
        <v>70</v>
      </c>
      <c r="D331">
        <v>32</v>
      </c>
      <c r="E331">
        <v>68</v>
      </c>
      <c r="F331">
        <v>30.8</v>
      </c>
      <c r="G331">
        <v>0.122</v>
      </c>
      <c r="H331">
        <v>37</v>
      </c>
      <c r="I331">
        <v>0</v>
      </c>
    </row>
    <row r="332" spans="1:9" x14ac:dyDescent="0.3">
      <c r="A332">
        <v>8</v>
      </c>
      <c r="B332">
        <v>118</v>
      </c>
      <c r="C332">
        <v>72</v>
      </c>
      <c r="D332">
        <v>19</v>
      </c>
      <c r="E332">
        <v>0</v>
      </c>
      <c r="F332">
        <v>23.1</v>
      </c>
      <c r="G332">
        <v>1.476</v>
      </c>
      <c r="H332">
        <v>46</v>
      </c>
      <c r="I332">
        <v>0</v>
      </c>
    </row>
    <row r="333" spans="1:9" x14ac:dyDescent="0.3">
      <c r="A333">
        <v>2</v>
      </c>
      <c r="B333">
        <v>87</v>
      </c>
      <c r="C333">
        <v>58</v>
      </c>
      <c r="D333">
        <v>16</v>
      </c>
      <c r="E333">
        <v>52</v>
      </c>
      <c r="F333">
        <v>32.700000000000003</v>
      </c>
      <c r="G333">
        <v>0.16600000000000001</v>
      </c>
      <c r="H333">
        <v>25</v>
      </c>
      <c r="I333">
        <v>0</v>
      </c>
    </row>
    <row r="334" spans="1:9" x14ac:dyDescent="0.3">
      <c r="A334">
        <v>1</v>
      </c>
      <c r="B334">
        <v>180</v>
      </c>
      <c r="C334">
        <v>0</v>
      </c>
      <c r="D334">
        <v>0</v>
      </c>
      <c r="E334">
        <v>0</v>
      </c>
      <c r="F334">
        <v>43.3</v>
      </c>
      <c r="G334">
        <v>0.28199999999999997</v>
      </c>
      <c r="H334">
        <v>41</v>
      </c>
      <c r="I334">
        <v>1</v>
      </c>
    </row>
    <row r="335" spans="1:9" x14ac:dyDescent="0.3">
      <c r="A335">
        <v>12</v>
      </c>
      <c r="B335">
        <v>106</v>
      </c>
      <c r="C335">
        <v>80</v>
      </c>
      <c r="D335">
        <v>0</v>
      </c>
      <c r="E335">
        <v>0</v>
      </c>
      <c r="F335">
        <v>23.6</v>
      </c>
      <c r="G335">
        <v>0.13700000000000001</v>
      </c>
      <c r="H335">
        <v>44</v>
      </c>
      <c r="I335">
        <v>0</v>
      </c>
    </row>
    <row r="336" spans="1:9" x14ac:dyDescent="0.3">
      <c r="A336">
        <v>1</v>
      </c>
      <c r="B336">
        <v>95</v>
      </c>
      <c r="C336">
        <v>60</v>
      </c>
      <c r="D336">
        <v>18</v>
      </c>
      <c r="E336">
        <v>58</v>
      </c>
      <c r="F336">
        <v>23.9</v>
      </c>
      <c r="G336">
        <v>0.26</v>
      </c>
      <c r="H336">
        <v>22</v>
      </c>
      <c r="I336">
        <v>0</v>
      </c>
    </row>
    <row r="337" spans="1:9" x14ac:dyDescent="0.3">
      <c r="A337">
        <v>0</v>
      </c>
      <c r="B337">
        <v>165</v>
      </c>
      <c r="C337">
        <v>76</v>
      </c>
      <c r="D337">
        <v>43</v>
      </c>
      <c r="E337">
        <v>255</v>
      </c>
      <c r="F337">
        <v>47.9</v>
      </c>
      <c r="G337">
        <v>0.25900000000000001</v>
      </c>
      <c r="H337">
        <v>26</v>
      </c>
      <c r="I337">
        <v>0</v>
      </c>
    </row>
    <row r="338" spans="1:9" x14ac:dyDescent="0.3">
      <c r="A338">
        <v>0</v>
      </c>
      <c r="B338">
        <v>117</v>
      </c>
      <c r="C338">
        <v>0</v>
      </c>
      <c r="D338">
        <v>0</v>
      </c>
      <c r="E338">
        <v>0</v>
      </c>
      <c r="F338">
        <v>33.799999999999997</v>
      </c>
      <c r="G338">
        <v>0.93200000000000005</v>
      </c>
      <c r="H338">
        <v>44</v>
      </c>
      <c r="I338">
        <v>0</v>
      </c>
    </row>
    <row r="339" spans="1:9" x14ac:dyDescent="0.3">
      <c r="A339">
        <v>5</v>
      </c>
      <c r="B339">
        <v>115</v>
      </c>
      <c r="C339">
        <v>76</v>
      </c>
      <c r="D339">
        <v>0</v>
      </c>
      <c r="E339">
        <v>0</v>
      </c>
      <c r="F339">
        <v>31.2</v>
      </c>
      <c r="G339">
        <v>0.34300000000000003</v>
      </c>
      <c r="H339">
        <v>44</v>
      </c>
      <c r="I339">
        <v>1</v>
      </c>
    </row>
    <row r="340" spans="1:9" x14ac:dyDescent="0.3">
      <c r="A340">
        <v>9</v>
      </c>
      <c r="B340">
        <v>152</v>
      </c>
      <c r="C340">
        <v>78</v>
      </c>
      <c r="D340">
        <v>34</v>
      </c>
      <c r="E340">
        <v>171</v>
      </c>
      <c r="F340">
        <v>34.200000000000003</v>
      </c>
      <c r="G340">
        <v>0.89300000000000002</v>
      </c>
      <c r="H340">
        <v>33</v>
      </c>
      <c r="I340">
        <v>1</v>
      </c>
    </row>
    <row r="341" spans="1:9" x14ac:dyDescent="0.3">
      <c r="A341">
        <v>7</v>
      </c>
      <c r="B341">
        <v>178</v>
      </c>
      <c r="C341">
        <v>84</v>
      </c>
      <c r="D341">
        <v>0</v>
      </c>
      <c r="E341">
        <v>0</v>
      </c>
      <c r="F341">
        <v>39.9</v>
      </c>
      <c r="G341">
        <v>0.33100000000000002</v>
      </c>
      <c r="H341">
        <v>41</v>
      </c>
      <c r="I341">
        <v>1</v>
      </c>
    </row>
    <row r="342" spans="1:9" x14ac:dyDescent="0.3">
      <c r="A342">
        <v>1</v>
      </c>
      <c r="B342">
        <v>130</v>
      </c>
      <c r="C342">
        <v>70</v>
      </c>
      <c r="D342">
        <v>13</v>
      </c>
      <c r="E342">
        <v>105</v>
      </c>
      <c r="F342">
        <v>25.9</v>
      </c>
      <c r="G342">
        <v>0.47199999999999998</v>
      </c>
      <c r="H342">
        <v>22</v>
      </c>
      <c r="I342">
        <v>0</v>
      </c>
    </row>
    <row r="343" spans="1:9" x14ac:dyDescent="0.3">
      <c r="A343">
        <v>1</v>
      </c>
      <c r="B343">
        <v>95</v>
      </c>
      <c r="C343">
        <v>74</v>
      </c>
      <c r="D343">
        <v>21</v>
      </c>
      <c r="E343">
        <v>73</v>
      </c>
      <c r="F343">
        <v>25.9</v>
      </c>
      <c r="G343">
        <v>0.67300000000000004</v>
      </c>
      <c r="H343">
        <v>36</v>
      </c>
      <c r="I343">
        <v>0</v>
      </c>
    </row>
    <row r="344" spans="1:9" x14ac:dyDescent="0.3">
      <c r="A344">
        <v>1</v>
      </c>
      <c r="B344">
        <v>0</v>
      </c>
      <c r="C344">
        <v>68</v>
      </c>
      <c r="D344">
        <v>35</v>
      </c>
      <c r="E344">
        <v>0</v>
      </c>
      <c r="F344">
        <v>32</v>
      </c>
      <c r="G344">
        <v>0.38900000000000001</v>
      </c>
      <c r="H344">
        <v>22</v>
      </c>
      <c r="I344">
        <v>0</v>
      </c>
    </row>
    <row r="345" spans="1:9" x14ac:dyDescent="0.3">
      <c r="A345">
        <v>5</v>
      </c>
      <c r="B345">
        <v>122</v>
      </c>
      <c r="C345">
        <v>86</v>
      </c>
      <c r="D345">
        <v>0</v>
      </c>
      <c r="E345">
        <v>0</v>
      </c>
      <c r="F345">
        <v>34.700000000000003</v>
      </c>
      <c r="G345">
        <v>0.28999999999999998</v>
      </c>
      <c r="H345">
        <v>33</v>
      </c>
      <c r="I345">
        <v>0</v>
      </c>
    </row>
    <row r="346" spans="1:9" x14ac:dyDescent="0.3">
      <c r="A346">
        <v>8</v>
      </c>
      <c r="B346">
        <v>95</v>
      </c>
      <c r="C346">
        <v>72</v>
      </c>
      <c r="D346">
        <v>0</v>
      </c>
      <c r="E346">
        <v>0</v>
      </c>
      <c r="F346">
        <v>36.799999999999997</v>
      </c>
      <c r="G346">
        <v>0.48499999999999999</v>
      </c>
      <c r="H346">
        <v>57</v>
      </c>
      <c r="I346">
        <v>0</v>
      </c>
    </row>
    <row r="347" spans="1:9" x14ac:dyDescent="0.3">
      <c r="A347">
        <v>8</v>
      </c>
      <c r="B347">
        <v>126</v>
      </c>
      <c r="C347">
        <v>88</v>
      </c>
      <c r="D347">
        <v>36</v>
      </c>
      <c r="E347">
        <v>108</v>
      </c>
      <c r="F347">
        <v>38.5</v>
      </c>
      <c r="G347">
        <v>0.34899999999999998</v>
      </c>
      <c r="H347">
        <v>49</v>
      </c>
      <c r="I347">
        <v>0</v>
      </c>
    </row>
    <row r="348" spans="1:9" x14ac:dyDescent="0.3">
      <c r="A348">
        <v>1</v>
      </c>
      <c r="B348">
        <v>139</v>
      </c>
      <c r="C348">
        <v>46</v>
      </c>
      <c r="D348">
        <v>19</v>
      </c>
      <c r="E348">
        <v>83</v>
      </c>
      <c r="F348">
        <v>28.7</v>
      </c>
      <c r="G348">
        <v>0.65400000000000003</v>
      </c>
      <c r="H348">
        <v>22</v>
      </c>
      <c r="I348">
        <v>0</v>
      </c>
    </row>
    <row r="349" spans="1:9" x14ac:dyDescent="0.3">
      <c r="A349">
        <v>3</v>
      </c>
      <c r="B349">
        <v>116</v>
      </c>
      <c r="C349">
        <v>0</v>
      </c>
      <c r="D349">
        <v>0</v>
      </c>
      <c r="E349">
        <v>0</v>
      </c>
      <c r="F349">
        <v>23.5</v>
      </c>
      <c r="G349">
        <v>0.187</v>
      </c>
      <c r="H349">
        <v>23</v>
      </c>
      <c r="I349">
        <v>0</v>
      </c>
    </row>
    <row r="350" spans="1:9" x14ac:dyDescent="0.3">
      <c r="A350">
        <v>3</v>
      </c>
      <c r="B350">
        <v>99</v>
      </c>
      <c r="C350">
        <v>62</v>
      </c>
      <c r="D350">
        <v>19</v>
      </c>
      <c r="E350">
        <v>74</v>
      </c>
      <c r="F350">
        <v>21.8</v>
      </c>
      <c r="G350">
        <v>0.27900000000000003</v>
      </c>
      <c r="H350">
        <v>26</v>
      </c>
      <c r="I350">
        <v>0</v>
      </c>
    </row>
    <row r="351" spans="1:9" x14ac:dyDescent="0.3">
      <c r="A351">
        <v>5</v>
      </c>
      <c r="B351">
        <v>0</v>
      </c>
      <c r="C351">
        <v>80</v>
      </c>
      <c r="D351">
        <v>32</v>
      </c>
      <c r="E351">
        <v>0</v>
      </c>
      <c r="F351">
        <v>41</v>
      </c>
      <c r="G351">
        <v>0.34599999999999997</v>
      </c>
      <c r="H351">
        <v>37</v>
      </c>
      <c r="I351">
        <v>1</v>
      </c>
    </row>
    <row r="352" spans="1:9" x14ac:dyDescent="0.3">
      <c r="A352">
        <v>4</v>
      </c>
      <c r="B352">
        <v>92</v>
      </c>
      <c r="C352">
        <v>80</v>
      </c>
      <c r="D352">
        <v>0</v>
      </c>
      <c r="E352">
        <v>0</v>
      </c>
      <c r="F352">
        <v>42.2</v>
      </c>
      <c r="G352">
        <v>0.23699999999999999</v>
      </c>
      <c r="H352">
        <v>29</v>
      </c>
      <c r="I352">
        <v>0</v>
      </c>
    </row>
    <row r="353" spans="1:9" x14ac:dyDescent="0.3">
      <c r="A353">
        <v>4</v>
      </c>
      <c r="B353">
        <v>137</v>
      </c>
      <c r="C353">
        <v>84</v>
      </c>
      <c r="D353">
        <v>0</v>
      </c>
      <c r="E353">
        <v>0</v>
      </c>
      <c r="F353">
        <v>31.2</v>
      </c>
      <c r="G353">
        <v>0.252</v>
      </c>
      <c r="H353">
        <v>30</v>
      </c>
      <c r="I353">
        <v>0</v>
      </c>
    </row>
    <row r="354" spans="1:9" x14ac:dyDescent="0.3">
      <c r="A354">
        <v>3</v>
      </c>
      <c r="B354">
        <v>61</v>
      </c>
      <c r="C354">
        <v>82</v>
      </c>
      <c r="D354">
        <v>28</v>
      </c>
      <c r="E354">
        <v>0</v>
      </c>
      <c r="F354">
        <v>34.4</v>
      </c>
      <c r="G354">
        <v>0.24299999999999999</v>
      </c>
      <c r="H354">
        <v>46</v>
      </c>
      <c r="I354">
        <v>0</v>
      </c>
    </row>
    <row r="355" spans="1:9" x14ac:dyDescent="0.3">
      <c r="A355">
        <v>1</v>
      </c>
      <c r="B355">
        <v>90</v>
      </c>
      <c r="C355">
        <v>62</v>
      </c>
      <c r="D355">
        <v>12</v>
      </c>
      <c r="E355">
        <v>43</v>
      </c>
      <c r="F355">
        <v>27.2</v>
      </c>
      <c r="G355">
        <v>0.57999999999999996</v>
      </c>
      <c r="H355">
        <v>24</v>
      </c>
      <c r="I355">
        <v>0</v>
      </c>
    </row>
    <row r="356" spans="1:9" x14ac:dyDescent="0.3">
      <c r="A356">
        <v>3</v>
      </c>
      <c r="B356">
        <v>90</v>
      </c>
      <c r="C356">
        <v>78</v>
      </c>
      <c r="D356">
        <v>0</v>
      </c>
      <c r="E356">
        <v>0</v>
      </c>
      <c r="F356">
        <v>42.7</v>
      </c>
      <c r="G356">
        <v>0.55900000000000005</v>
      </c>
      <c r="H356">
        <v>21</v>
      </c>
      <c r="I356">
        <v>0</v>
      </c>
    </row>
    <row r="357" spans="1:9" x14ac:dyDescent="0.3">
      <c r="A357">
        <v>9</v>
      </c>
      <c r="B357">
        <v>165</v>
      </c>
      <c r="C357">
        <v>88</v>
      </c>
      <c r="D357">
        <v>0</v>
      </c>
      <c r="E357">
        <v>0</v>
      </c>
      <c r="F357">
        <v>30.4</v>
      </c>
      <c r="G357">
        <v>0.30199999999999999</v>
      </c>
      <c r="H357">
        <v>49</v>
      </c>
      <c r="I357">
        <v>1</v>
      </c>
    </row>
    <row r="358" spans="1:9" x14ac:dyDescent="0.3">
      <c r="A358">
        <v>1</v>
      </c>
      <c r="B358">
        <v>125</v>
      </c>
      <c r="C358">
        <v>50</v>
      </c>
      <c r="D358">
        <v>40</v>
      </c>
      <c r="E358">
        <v>167</v>
      </c>
      <c r="F358">
        <v>33.299999999999997</v>
      </c>
      <c r="G358">
        <v>0.96199999999999997</v>
      </c>
      <c r="H358">
        <v>28</v>
      </c>
      <c r="I358">
        <v>1</v>
      </c>
    </row>
    <row r="359" spans="1:9" x14ac:dyDescent="0.3">
      <c r="A359">
        <v>13</v>
      </c>
      <c r="B359">
        <v>129</v>
      </c>
      <c r="C359">
        <v>0</v>
      </c>
      <c r="D359">
        <v>30</v>
      </c>
      <c r="E359">
        <v>0</v>
      </c>
      <c r="F359">
        <v>39.9</v>
      </c>
      <c r="G359">
        <v>0.56899999999999995</v>
      </c>
      <c r="H359">
        <v>44</v>
      </c>
      <c r="I359">
        <v>1</v>
      </c>
    </row>
    <row r="360" spans="1:9" x14ac:dyDescent="0.3">
      <c r="A360">
        <v>12</v>
      </c>
      <c r="B360">
        <v>88</v>
      </c>
      <c r="C360">
        <v>74</v>
      </c>
      <c r="D360">
        <v>40</v>
      </c>
      <c r="E360">
        <v>54</v>
      </c>
      <c r="F360">
        <v>35.299999999999997</v>
      </c>
      <c r="G360">
        <v>0.378</v>
      </c>
      <c r="H360">
        <v>48</v>
      </c>
      <c r="I360">
        <v>0</v>
      </c>
    </row>
    <row r="361" spans="1:9" x14ac:dyDescent="0.3">
      <c r="A361">
        <v>1</v>
      </c>
      <c r="B361">
        <v>196</v>
      </c>
      <c r="C361">
        <v>76</v>
      </c>
      <c r="D361">
        <v>36</v>
      </c>
      <c r="E361">
        <v>249</v>
      </c>
      <c r="F361">
        <v>36.5</v>
      </c>
      <c r="G361">
        <v>0.875</v>
      </c>
      <c r="H361">
        <v>29</v>
      </c>
      <c r="I361">
        <v>1</v>
      </c>
    </row>
    <row r="362" spans="1:9" x14ac:dyDescent="0.3">
      <c r="A362">
        <v>5</v>
      </c>
      <c r="B362">
        <v>189</v>
      </c>
      <c r="C362">
        <v>64</v>
      </c>
      <c r="D362">
        <v>33</v>
      </c>
      <c r="E362">
        <v>325</v>
      </c>
      <c r="F362">
        <v>31.2</v>
      </c>
      <c r="G362">
        <v>0.58299999999999996</v>
      </c>
      <c r="H362">
        <v>29</v>
      </c>
      <c r="I362">
        <v>1</v>
      </c>
    </row>
    <row r="363" spans="1:9" x14ac:dyDescent="0.3">
      <c r="A363">
        <v>5</v>
      </c>
      <c r="B363">
        <v>158</v>
      </c>
      <c r="C363">
        <v>70</v>
      </c>
      <c r="D363">
        <v>0</v>
      </c>
      <c r="E363">
        <v>0</v>
      </c>
      <c r="F363">
        <v>29.8</v>
      </c>
      <c r="G363">
        <v>0.20699999999999999</v>
      </c>
      <c r="H363">
        <v>63</v>
      </c>
      <c r="I363">
        <v>0</v>
      </c>
    </row>
    <row r="364" spans="1:9" x14ac:dyDescent="0.3">
      <c r="A364">
        <v>5</v>
      </c>
      <c r="B364">
        <v>103</v>
      </c>
      <c r="C364">
        <v>108</v>
      </c>
      <c r="D364">
        <v>37</v>
      </c>
      <c r="E364">
        <v>0</v>
      </c>
      <c r="F364">
        <v>39.200000000000003</v>
      </c>
      <c r="G364">
        <v>0.30499999999999999</v>
      </c>
      <c r="H364">
        <v>65</v>
      </c>
      <c r="I364">
        <v>0</v>
      </c>
    </row>
    <row r="365" spans="1:9" x14ac:dyDescent="0.3">
      <c r="A365">
        <v>4</v>
      </c>
      <c r="B365">
        <v>146</v>
      </c>
      <c r="C365">
        <v>78</v>
      </c>
      <c r="D365">
        <v>0</v>
      </c>
      <c r="E365">
        <v>0</v>
      </c>
      <c r="F365">
        <v>38.5</v>
      </c>
      <c r="G365">
        <v>0.52</v>
      </c>
      <c r="H365">
        <v>67</v>
      </c>
      <c r="I365">
        <v>1</v>
      </c>
    </row>
    <row r="366" spans="1:9" x14ac:dyDescent="0.3">
      <c r="A366">
        <v>4</v>
      </c>
      <c r="B366">
        <v>147</v>
      </c>
      <c r="C366">
        <v>74</v>
      </c>
      <c r="D366">
        <v>25</v>
      </c>
      <c r="E366">
        <v>293</v>
      </c>
      <c r="F366">
        <v>34.9</v>
      </c>
      <c r="G366">
        <v>0.38500000000000001</v>
      </c>
      <c r="H366">
        <v>30</v>
      </c>
      <c r="I366">
        <v>0</v>
      </c>
    </row>
    <row r="367" spans="1:9" x14ac:dyDescent="0.3">
      <c r="A367">
        <v>5</v>
      </c>
      <c r="B367">
        <v>99</v>
      </c>
      <c r="C367">
        <v>54</v>
      </c>
      <c r="D367">
        <v>28</v>
      </c>
      <c r="E367">
        <v>83</v>
      </c>
      <c r="F367">
        <v>34</v>
      </c>
      <c r="G367">
        <v>0.499</v>
      </c>
      <c r="H367">
        <v>30</v>
      </c>
      <c r="I367">
        <v>0</v>
      </c>
    </row>
    <row r="368" spans="1:9" x14ac:dyDescent="0.3">
      <c r="A368">
        <v>6</v>
      </c>
      <c r="B368">
        <v>124</v>
      </c>
      <c r="C368">
        <v>72</v>
      </c>
      <c r="D368">
        <v>0</v>
      </c>
      <c r="E368">
        <v>0</v>
      </c>
      <c r="F368">
        <v>27.6</v>
      </c>
      <c r="G368">
        <v>0.36799999999999999</v>
      </c>
      <c r="H368">
        <v>29</v>
      </c>
      <c r="I368">
        <v>1</v>
      </c>
    </row>
    <row r="369" spans="1:9" x14ac:dyDescent="0.3">
      <c r="A369">
        <v>0</v>
      </c>
      <c r="B369">
        <v>101</v>
      </c>
      <c r="C369">
        <v>64</v>
      </c>
      <c r="D369">
        <v>17</v>
      </c>
      <c r="E369">
        <v>0</v>
      </c>
      <c r="F369">
        <v>21</v>
      </c>
      <c r="G369">
        <v>0.252</v>
      </c>
      <c r="H369">
        <v>21</v>
      </c>
      <c r="I369">
        <v>0</v>
      </c>
    </row>
    <row r="370" spans="1:9" x14ac:dyDescent="0.3">
      <c r="A370">
        <v>3</v>
      </c>
      <c r="B370">
        <v>81</v>
      </c>
      <c r="C370">
        <v>86</v>
      </c>
      <c r="D370">
        <v>16</v>
      </c>
      <c r="E370">
        <v>66</v>
      </c>
      <c r="F370">
        <v>27.5</v>
      </c>
      <c r="G370">
        <v>0.30599999999999999</v>
      </c>
      <c r="H370">
        <v>22</v>
      </c>
      <c r="I370">
        <v>0</v>
      </c>
    </row>
    <row r="371" spans="1:9" x14ac:dyDescent="0.3">
      <c r="A371">
        <v>1</v>
      </c>
      <c r="B371">
        <v>133</v>
      </c>
      <c r="C371">
        <v>102</v>
      </c>
      <c r="D371">
        <v>28</v>
      </c>
      <c r="E371">
        <v>140</v>
      </c>
      <c r="F371">
        <v>32.799999999999997</v>
      </c>
      <c r="G371">
        <v>0.23400000000000001</v>
      </c>
      <c r="H371">
        <v>45</v>
      </c>
      <c r="I371">
        <v>1</v>
      </c>
    </row>
    <row r="372" spans="1:9" x14ac:dyDescent="0.3">
      <c r="A372">
        <v>3</v>
      </c>
      <c r="B372">
        <v>173</v>
      </c>
      <c r="C372">
        <v>82</v>
      </c>
      <c r="D372">
        <v>48</v>
      </c>
      <c r="E372">
        <v>465</v>
      </c>
      <c r="F372">
        <v>38.4</v>
      </c>
      <c r="G372">
        <v>2.137</v>
      </c>
      <c r="H372">
        <v>25</v>
      </c>
      <c r="I372">
        <v>1</v>
      </c>
    </row>
    <row r="373" spans="1:9" x14ac:dyDescent="0.3">
      <c r="A373">
        <v>0</v>
      </c>
      <c r="B373">
        <v>118</v>
      </c>
      <c r="C373">
        <v>64</v>
      </c>
      <c r="D373">
        <v>23</v>
      </c>
      <c r="E373">
        <v>89</v>
      </c>
      <c r="F373">
        <v>0</v>
      </c>
      <c r="G373">
        <v>1.7310000000000001</v>
      </c>
      <c r="H373">
        <v>21</v>
      </c>
      <c r="I373">
        <v>0</v>
      </c>
    </row>
    <row r="374" spans="1:9" x14ac:dyDescent="0.3">
      <c r="A374">
        <v>0</v>
      </c>
      <c r="B374">
        <v>84</v>
      </c>
      <c r="C374">
        <v>64</v>
      </c>
      <c r="D374">
        <v>22</v>
      </c>
      <c r="E374">
        <v>66</v>
      </c>
      <c r="F374">
        <v>35.799999999999997</v>
      </c>
      <c r="G374">
        <v>0.54500000000000004</v>
      </c>
      <c r="H374">
        <v>21</v>
      </c>
      <c r="I374">
        <v>0</v>
      </c>
    </row>
    <row r="375" spans="1:9" x14ac:dyDescent="0.3">
      <c r="A375">
        <v>2</v>
      </c>
      <c r="B375">
        <v>105</v>
      </c>
      <c r="C375">
        <v>58</v>
      </c>
      <c r="D375">
        <v>40</v>
      </c>
      <c r="E375">
        <v>94</v>
      </c>
      <c r="F375">
        <v>34.9</v>
      </c>
      <c r="G375">
        <v>0.22500000000000001</v>
      </c>
      <c r="H375">
        <v>25</v>
      </c>
      <c r="I375">
        <v>0</v>
      </c>
    </row>
    <row r="376" spans="1:9" x14ac:dyDescent="0.3">
      <c r="A376">
        <v>2</v>
      </c>
      <c r="B376">
        <v>122</v>
      </c>
      <c r="C376">
        <v>52</v>
      </c>
      <c r="D376">
        <v>43</v>
      </c>
      <c r="E376">
        <v>158</v>
      </c>
      <c r="F376">
        <v>36.200000000000003</v>
      </c>
      <c r="G376">
        <v>0.81599999999999995</v>
      </c>
      <c r="H376">
        <v>28</v>
      </c>
      <c r="I376">
        <v>0</v>
      </c>
    </row>
    <row r="377" spans="1:9" x14ac:dyDescent="0.3">
      <c r="A377">
        <v>12</v>
      </c>
      <c r="B377">
        <v>140</v>
      </c>
      <c r="C377">
        <v>82</v>
      </c>
      <c r="D377">
        <v>43</v>
      </c>
      <c r="E377">
        <v>325</v>
      </c>
      <c r="F377">
        <v>39.200000000000003</v>
      </c>
      <c r="G377">
        <v>0.52800000000000002</v>
      </c>
      <c r="H377">
        <v>58</v>
      </c>
      <c r="I377">
        <v>1</v>
      </c>
    </row>
    <row r="378" spans="1:9" x14ac:dyDescent="0.3">
      <c r="A378">
        <v>0</v>
      </c>
      <c r="B378">
        <v>98</v>
      </c>
      <c r="C378">
        <v>82</v>
      </c>
      <c r="D378">
        <v>15</v>
      </c>
      <c r="E378">
        <v>84</v>
      </c>
      <c r="F378">
        <v>25.2</v>
      </c>
      <c r="G378">
        <v>0.29899999999999999</v>
      </c>
      <c r="H378">
        <v>22</v>
      </c>
      <c r="I378">
        <v>0</v>
      </c>
    </row>
    <row r="379" spans="1:9" x14ac:dyDescent="0.3">
      <c r="A379">
        <v>1</v>
      </c>
      <c r="B379">
        <v>87</v>
      </c>
      <c r="C379">
        <v>60</v>
      </c>
      <c r="D379">
        <v>37</v>
      </c>
      <c r="E379">
        <v>75</v>
      </c>
      <c r="F379">
        <v>37.200000000000003</v>
      </c>
      <c r="G379">
        <v>0.50900000000000001</v>
      </c>
      <c r="H379">
        <v>22</v>
      </c>
      <c r="I379">
        <v>0</v>
      </c>
    </row>
    <row r="380" spans="1:9" x14ac:dyDescent="0.3">
      <c r="A380">
        <v>4</v>
      </c>
      <c r="B380">
        <v>156</v>
      </c>
      <c r="C380">
        <v>75</v>
      </c>
      <c r="D380">
        <v>0</v>
      </c>
      <c r="E380">
        <v>0</v>
      </c>
      <c r="F380">
        <v>48.3</v>
      </c>
      <c r="G380">
        <v>0.23799999999999999</v>
      </c>
      <c r="H380">
        <v>32</v>
      </c>
      <c r="I380">
        <v>1</v>
      </c>
    </row>
    <row r="381" spans="1:9" x14ac:dyDescent="0.3">
      <c r="A381">
        <v>0</v>
      </c>
      <c r="B381">
        <v>93</v>
      </c>
      <c r="C381">
        <v>100</v>
      </c>
      <c r="D381">
        <v>39</v>
      </c>
      <c r="E381">
        <v>72</v>
      </c>
      <c r="F381">
        <v>43.4</v>
      </c>
      <c r="G381">
        <v>1.0209999999999999</v>
      </c>
      <c r="H381">
        <v>35</v>
      </c>
      <c r="I381">
        <v>0</v>
      </c>
    </row>
    <row r="382" spans="1:9" x14ac:dyDescent="0.3">
      <c r="A382">
        <v>1</v>
      </c>
      <c r="B382">
        <v>107</v>
      </c>
      <c r="C382">
        <v>72</v>
      </c>
      <c r="D382">
        <v>30</v>
      </c>
      <c r="E382">
        <v>82</v>
      </c>
      <c r="F382">
        <v>30.8</v>
      </c>
      <c r="G382">
        <v>0.82099999999999995</v>
      </c>
      <c r="H382">
        <v>24</v>
      </c>
      <c r="I382">
        <v>0</v>
      </c>
    </row>
    <row r="383" spans="1:9" x14ac:dyDescent="0.3">
      <c r="A383">
        <v>0</v>
      </c>
      <c r="B383">
        <v>105</v>
      </c>
      <c r="C383">
        <v>68</v>
      </c>
      <c r="D383">
        <v>22</v>
      </c>
      <c r="E383">
        <v>0</v>
      </c>
      <c r="F383">
        <v>20</v>
      </c>
      <c r="G383">
        <v>0.23599999999999999</v>
      </c>
      <c r="H383">
        <v>22</v>
      </c>
      <c r="I383">
        <v>0</v>
      </c>
    </row>
    <row r="384" spans="1:9" x14ac:dyDescent="0.3">
      <c r="A384">
        <v>1</v>
      </c>
      <c r="B384">
        <v>109</v>
      </c>
      <c r="C384">
        <v>60</v>
      </c>
      <c r="D384">
        <v>8</v>
      </c>
      <c r="E384">
        <v>182</v>
      </c>
      <c r="F384">
        <v>25.4</v>
      </c>
      <c r="G384">
        <v>0.94699999999999995</v>
      </c>
      <c r="H384">
        <v>21</v>
      </c>
      <c r="I384">
        <v>0</v>
      </c>
    </row>
    <row r="385" spans="1:9" x14ac:dyDescent="0.3">
      <c r="A385">
        <v>1</v>
      </c>
      <c r="B385">
        <v>90</v>
      </c>
      <c r="C385">
        <v>62</v>
      </c>
      <c r="D385">
        <v>18</v>
      </c>
      <c r="E385">
        <v>59</v>
      </c>
      <c r="F385">
        <v>25.1</v>
      </c>
      <c r="G385">
        <v>1.268</v>
      </c>
      <c r="H385">
        <v>25</v>
      </c>
      <c r="I385">
        <v>0</v>
      </c>
    </row>
    <row r="386" spans="1:9" x14ac:dyDescent="0.3">
      <c r="A386">
        <v>1</v>
      </c>
      <c r="B386">
        <v>125</v>
      </c>
      <c r="C386">
        <v>70</v>
      </c>
      <c r="D386">
        <v>24</v>
      </c>
      <c r="E386">
        <v>110</v>
      </c>
      <c r="F386">
        <v>24.3</v>
      </c>
      <c r="G386">
        <v>0.221</v>
      </c>
      <c r="H386">
        <v>25</v>
      </c>
      <c r="I386">
        <v>0</v>
      </c>
    </row>
    <row r="387" spans="1:9" x14ac:dyDescent="0.3">
      <c r="A387">
        <v>1</v>
      </c>
      <c r="B387">
        <v>119</v>
      </c>
      <c r="C387">
        <v>54</v>
      </c>
      <c r="D387">
        <v>13</v>
      </c>
      <c r="E387">
        <v>50</v>
      </c>
      <c r="F387">
        <v>22.3</v>
      </c>
      <c r="G387">
        <v>0.20499999999999999</v>
      </c>
      <c r="H387">
        <v>24</v>
      </c>
      <c r="I387">
        <v>0</v>
      </c>
    </row>
    <row r="388" spans="1:9" x14ac:dyDescent="0.3">
      <c r="A388">
        <v>5</v>
      </c>
      <c r="B388">
        <v>116</v>
      </c>
      <c r="C388">
        <v>74</v>
      </c>
      <c r="D388">
        <v>29</v>
      </c>
      <c r="E388">
        <v>0</v>
      </c>
      <c r="F388">
        <v>32.299999999999997</v>
      </c>
      <c r="G388">
        <v>0.66</v>
      </c>
      <c r="H388">
        <v>35</v>
      </c>
      <c r="I388">
        <v>1</v>
      </c>
    </row>
    <row r="389" spans="1:9" x14ac:dyDescent="0.3">
      <c r="A389">
        <v>8</v>
      </c>
      <c r="B389">
        <v>105</v>
      </c>
      <c r="C389">
        <v>100</v>
      </c>
      <c r="D389">
        <v>36</v>
      </c>
      <c r="E389">
        <v>0</v>
      </c>
      <c r="F389">
        <v>43.3</v>
      </c>
      <c r="G389">
        <v>0.23899999999999999</v>
      </c>
      <c r="H389">
        <v>45</v>
      </c>
      <c r="I389">
        <v>1</v>
      </c>
    </row>
    <row r="390" spans="1:9" x14ac:dyDescent="0.3">
      <c r="A390">
        <v>5</v>
      </c>
      <c r="B390">
        <v>144</v>
      </c>
      <c r="C390">
        <v>82</v>
      </c>
      <c r="D390">
        <v>26</v>
      </c>
      <c r="E390">
        <v>285</v>
      </c>
      <c r="F390">
        <v>32</v>
      </c>
      <c r="G390">
        <v>0.45200000000000001</v>
      </c>
      <c r="H390">
        <v>58</v>
      </c>
      <c r="I390">
        <v>1</v>
      </c>
    </row>
    <row r="391" spans="1:9" x14ac:dyDescent="0.3">
      <c r="A391">
        <v>3</v>
      </c>
      <c r="B391">
        <v>100</v>
      </c>
      <c r="C391">
        <v>68</v>
      </c>
      <c r="D391">
        <v>23</v>
      </c>
      <c r="E391">
        <v>81</v>
      </c>
      <c r="F391">
        <v>31.6</v>
      </c>
      <c r="G391">
        <v>0.94899999999999995</v>
      </c>
      <c r="H391">
        <v>28</v>
      </c>
      <c r="I391">
        <v>0</v>
      </c>
    </row>
    <row r="392" spans="1:9" x14ac:dyDescent="0.3">
      <c r="A392">
        <v>1</v>
      </c>
      <c r="B392">
        <v>100</v>
      </c>
      <c r="C392">
        <v>66</v>
      </c>
      <c r="D392">
        <v>29</v>
      </c>
      <c r="E392">
        <v>196</v>
      </c>
      <c r="F392">
        <v>32</v>
      </c>
      <c r="G392">
        <v>0.44400000000000001</v>
      </c>
      <c r="H392">
        <v>42</v>
      </c>
      <c r="I392">
        <v>0</v>
      </c>
    </row>
    <row r="393" spans="1:9" x14ac:dyDescent="0.3">
      <c r="A393">
        <v>5</v>
      </c>
      <c r="B393">
        <v>166</v>
      </c>
      <c r="C393">
        <v>76</v>
      </c>
      <c r="D393">
        <v>0</v>
      </c>
      <c r="E393">
        <v>0</v>
      </c>
      <c r="F393">
        <v>45.7</v>
      </c>
      <c r="G393">
        <v>0.34</v>
      </c>
      <c r="H393">
        <v>27</v>
      </c>
      <c r="I393">
        <v>1</v>
      </c>
    </row>
    <row r="394" spans="1:9" x14ac:dyDescent="0.3">
      <c r="A394">
        <v>1</v>
      </c>
      <c r="B394">
        <v>131</v>
      </c>
      <c r="C394">
        <v>64</v>
      </c>
      <c r="D394">
        <v>14</v>
      </c>
      <c r="E394">
        <v>415</v>
      </c>
      <c r="F394">
        <v>23.7</v>
      </c>
      <c r="G394">
        <v>0.38900000000000001</v>
      </c>
      <c r="H394">
        <v>21</v>
      </c>
      <c r="I394">
        <v>0</v>
      </c>
    </row>
    <row r="395" spans="1:9" x14ac:dyDescent="0.3">
      <c r="A395">
        <v>4</v>
      </c>
      <c r="B395">
        <v>116</v>
      </c>
      <c r="C395">
        <v>72</v>
      </c>
      <c r="D395">
        <v>12</v>
      </c>
      <c r="E395">
        <v>87</v>
      </c>
      <c r="F395">
        <v>22.1</v>
      </c>
      <c r="G395">
        <v>0.46300000000000002</v>
      </c>
      <c r="H395">
        <v>37</v>
      </c>
      <c r="I395">
        <v>0</v>
      </c>
    </row>
    <row r="396" spans="1:9" x14ac:dyDescent="0.3">
      <c r="A396">
        <v>4</v>
      </c>
      <c r="B396">
        <v>158</v>
      </c>
      <c r="C396">
        <v>78</v>
      </c>
      <c r="D396">
        <v>0</v>
      </c>
      <c r="E396">
        <v>0</v>
      </c>
      <c r="F396">
        <v>32.9</v>
      </c>
      <c r="G396">
        <v>0.80300000000000005</v>
      </c>
      <c r="H396">
        <v>31</v>
      </c>
      <c r="I396">
        <v>1</v>
      </c>
    </row>
    <row r="397" spans="1:9" x14ac:dyDescent="0.3">
      <c r="A397">
        <v>2</v>
      </c>
      <c r="B397">
        <v>127</v>
      </c>
      <c r="C397">
        <v>58</v>
      </c>
      <c r="D397">
        <v>24</v>
      </c>
      <c r="E397">
        <v>275</v>
      </c>
      <c r="F397">
        <v>27.7</v>
      </c>
      <c r="G397">
        <v>1.6</v>
      </c>
      <c r="H397">
        <v>25</v>
      </c>
      <c r="I397">
        <v>0</v>
      </c>
    </row>
    <row r="398" spans="1:9" x14ac:dyDescent="0.3">
      <c r="A398">
        <v>3</v>
      </c>
      <c r="B398">
        <v>96</v>
      </c>
      <c r="C398">
        <v>56</v>
      </c>
      <c r="D398">
        <v>34</v>
      </c>
      <c r="E398">
        <v>115</v>
      </c>
      <c r="F398">
        <v>24.7</v>
      </c>
      <c r="G398">
        <v>0.94399999999999995</v>
      </c>
      <c r="H398">
        <v>39</v>
      </c>
      <c r="I398">
        <v>0</v>
      </c>
    </row>
    <row r="399" spans="1:9" x14ac:dyDescent="0.3">
      <c r="A399">
        <v>0</v>
      </c>
      <c r="B399">
        <v>131</v>
      </c>
      <c r="C399">
        <v>66</v>
      </c>
      <c r="D399">
        <v>40</v>
      </c>
      <c r="E399">
        <v>0</v>
      </c>
      <c r="F399">
        <v>34.299999999999997</v>
      </c>
      <c r="G399">
        <v>0.19600000000000001</v>
      </c>
      <c r="H399">
        <v>22</v>
      </c>
      <c r="I399">
        <v>1</v>
      </c>
    </row>
    <row r="400" spans="1:9" x14ac:dyDescent="0.3">
      <c r="A400">
        <v>3</v>
      </c>
      <c r="B400">
        <v>82</v>
      </c>
      <c r="C400">
        <v>70</v>
      </c>
      <c r="D400">
        <v>0</v>
      </c>
      <c r="E400">
        <v>0</v>
      </c>
      <c r="F400">
        <v>21.1</v>
      </c>
      <c r="G400">
        <v>0.38900000000000001</v>
      </c>
      <c r="H400">
        <v>25</v>
      </c>
      <c r="I400">
        <v>0</v>
      </c>
    </row>
    <row r="401" spans="1:9" x14ac:dyDescent="0.3">
      <c r="A401">
        <v>3</v>
      </c>
      <c r="B401">
        <v>193</v>
      </c>
      <c r="C401">
        <v>70</v>
      </c>
      <c r="D401">
        <v>31</v>
      </c>
      <c r="E401">
        <v>0</v>
      </c>
      <c r="F401">
        <v>34.9</v>
      </c>
      <c r="G401">
        <v>0.24099999999999999</v>
      </c>
      <c r="H401">
        <v>25</v>
      </c>
      <c r="I401">
        <v>1</v>
      </c>
    </row>
    <row r="402" spans="1:9" x14ac:dyDescent="0.3">
      <c r="A402">
        <v>4</v>
      </c>
      <c r="B402">
        <v>95</v>
      </c>
      <c r="C402">
        <v>64</v>
      </c>
      <c r="D402">
        <v>0</v>
      </c>
      <c r="E402">
        <v>0</v>
      </c>
      <c r="F402">
        <v>32</v>
      </c>
      <c r="G402">
        <v>0.161</v>
      </c>
      <c r="H402">
        <v>31</v>
      </c>
      <c r="I402">
        <v>1</v>
      </c>
    </row>
    <row r="403" spans="1:9" x14ac:dyDescent="0.3">
      <c r="A403">
        <v>6</v>
      </c>
      <c r="B403">
        <v>137</v>
      </c>
      <c r="C403">
        <v>61</v>
      </c>
      <c r="D403">
        <v>0</v>
      </c>
      <c r="E403">
        <v>0</v>
      </c>
      <c r="F403">
        <v>24.2</v>
      </c>
      <c r="G403">
        <v>0.151</v>
      </c>
      <c r="H403">
        <v>55</v>
      </c>
      <c r="I403">
        <v>0</v>
      </c>
    </row>
    <row r="404" spans="1:9" x14ac:dyDescent="0.3">
      <c r="A404">
        <v>5</v>
      </c>
      <c r="B404">
        <v>136</v>
      </c>
      <c r="C404">
        <v>84</v>
      </c>
      <c r="D404">
        <v>41</v>
      </c>
      <c r="E404">
        <v>88</v>
      </c>
      <c r="F404">
        <v>35</v>
      </c>
      <c r="G404">
        <v>0.28599999999999998</v>
      </c>
      <c r="H404">
        <v>35</v>
      </c>
      <c r="I404">
        <v>1</v>
      </c>
    </row>
    <row r="405" spans="1:9" x14ac:dyDescent="0.3">
      <c r="A405">
        <v>9</v>
      </c>
      <c r="B405">
        <v>72</v>
      </c>
      <c r="C405">
        <v>78</v>
      </c>
      <c r="D405">
        <v>25</v>
      </c>
      <c r="E405">
        <v>0</v>
      </c>
      <c r="F405">
        <v>31.6</v>
      </c>
      <c r="G405">
        <v>0.28000000000000003</v>
      </c>
      <c r="H405">
        <v>38</v>
      </c>
      <c r="I405">
        <v>0</v>
      </c>
    </row>
    <row r="406" spans="1:9" x14ac:dyDescent="0.3">
      <c r="A406">
        <v>5</v>
      </c>
      <c r="B406">
        <v>168</v>
      </c>
      <c r="C406">
        <v>64</v>
      </c>
      <c r="D406">
        <v>0</v>
      </c>
      <c r="E406">
        <v>0</v>
      </c>
      <c r="F406">
        <v>32.9</v>
      </c>
      <c r="G406">
        <v>0.13500000000000001</v>
      </c>
      <c r="H406">
        <v>41</v>
      </c>
      <c r="I406">
        <v>1</v>
      </c>
    </row>
    <row r="407" spans="1:9" x14ac:dyDescent="0.3">
      <c r="A407">
        <v>2</v>
      </c>
      <c r="B407">
        <v>123</v>
      </c>
      <c r="C407">
        <v>48</v>
      </c>
      <c r="D407">
        <v>32</v>
      </c>
      <c r="E407">
        <v>165</v>
      </c>
      <c r="F407">
        <v>42.1</v>
      </c>
      <c r="G407">
        <v>0.52</v>
      </c>
      <c r="H407">
        <v>26</v>
      </c>
      <c r="I407">
        <v>0</v>
      </c>
    </row>
    <row r="408" spans="1:9" x14ac:dyDescent="0.3">
      <c r="A408">
        <v>4</v>
      </c>
      <c r="B408">
        <v>115</v>
      </c>
      <c r="C408">
        <v>72</v>
      </c>
      <c r="D408">
        <v>0</v>
      </c>
      <c r="E408">
        <v>0</v>
      </c>
      <c r="F408">
        <v>28.9</v>
      </c>
      <c r="G408">
        <v>0.376</v>
      </c>
      <c r="H408">
        <v>46</v>
      </c>
      <c r="I408">
        <v>1</v>
      </c>
    </row>
    <row r="409" spans="1:9" x14ac:dyDescent="0.3">
      <c r="A409">
        <v>0</v>
      </c>
      <c r="B409">
        <v>101</v>
      </c>
      <c r="C409">
        <v>62</v>
      </c>
      <c r="D409">
        <v>0</v>
      </c>
      <c r="E409">
        <v>0</v>
      </c>
      <c r="F409">
        <v>21.9</v>
      </c>
      <c r="G409">
        <v>0.33600000000000002</v>
      </c>
      <c r="H409">
        <v>25</v>
      </c>
      <c r="I409">
        <v>0</v>
      </c>
    </row>
    <row r="410" spans="1:9" x14ac:dyDescent="0.3">
      <c r="A410">
        <v>8</v>
      </c>
      <c r="B410">
        <v>197</v>
      </c>
      <c r="C410">
        <v>74</v>
      </c>
      <c r="D410">
        <v>0</v>
      </c>
      <c r="E410">
        <v>0</v>
      </c>
      <c r="F410">
        <v>25.9</v>
      </c>
      <c r="G410">
        <v>1.1910000000000001</v>
      </c>
      <c r="H410">
        <v>39</v>
      </c>
      <c r="I410">
        <v>1</v>
      </c>
    </row>
    <row r="411" spans="1:9" x14ac:dyDescent="0.3">
      <c r="A411">
        <v>1</v>
      </c>
      <c r="B411">
        <v>172</v>
      </c>
      <c r="C411">
        <v>68</v>
      </c>
      <c r="D411">
        <v>49</v>
      </c>
      <c r="E411">
        <v>579</v>
      </c>
      <c r="F411">
        <v>42.4</v>
      </c>
      <c r="G411">
        <v>0.70199999999999996</v>
      </c>
      <c r="H411">
        <v>28</v>
      </c>
      <c r="I411">
        <v>1</v>
      </c>
    </row>
    <row r="412" spans="1:9" x14ac:dyDescent="0.3">
      <c r="A412">
        <v>6</v>
      </c>
      <c r="B412">
        <v>102</v>
      </c>
      <c r="C412">
        <v>90</v>
      </c>
      <c r="D412">
        <v>39</v>
      </c>
      <c r="E412">
        <v>0</v>
      </c>
      <c r="F412">
        <v>35.700000000000003</v>
      </c>
      <c r="G412">
        <v>0.67400000000000004</v>
      </c>
      <c r="H412">
        <v>28</v>
      </c>
      <c r="I412">
        <v>0</v>
      </c>
    </row>
    <row r="413" spans="1:9" x14ac:dyDescent="0.3">
      <c r="A413">
        <v>1</v>
      </c>
      <c r="B413">
        <v>112</v>
      </c>
      <c r="C413">
        <v>72</v>
      </c>
      <c r="D413">
        <v>30</v>
      </c>
      <c r="E413">
        <v>176</v>
      </c>
      <c r="F413">
        <v>34.4</v>
      </c>
      <c r="G413">
        <v>0.52800000000000002</v>
      </c>
      <c r="H413">
        <v>25</v>
      </c>
      <c r="I413">
        <v>0</v>
      </c>
    </row>
    <row r="414" spans="1:9" x14ac:dyDescent="0.3">
      <c r="A414">
        <v>1</v>
      </c>
      <c r="B414">
        <v>143</v>
      </c>
      <c r="C414">
        <v>84</v>
      </c>
      <c r="D414">
        <v>23</v>
      </c>
      <c r="E414">
        <v>310</v>
      </c>
      <c r="F414">
        <v>42.4</v>
      </c>
      <c r="G414">
        <v>1.0760000000000001</v>
      </c>
      <c r="H414">
        <v>22</v>
      </c>
      <c r="I414">
        <v>0</v>
      </c>
    </row>
    <row r="415" spans="1:9" x14ac:dyDescent="0.3">
      <c r="A415">
        <v>1</v>
      </c>
      <c r="B415">
        <v>143</v>
      </c>
      <c r="C415">
        <v>74</v>
      </c>
      <c r="D415">
        <v>22</v>
      </c>
      <c r="E415">
        <v>61</v>
      </c>
      <c r="F415">
        <v>26.2</v>
      </c>
      <c r="G415">
        <v>0.25600000000000001</v>
      </c>
      <c r="H415">
        <v>21</v>
      </c>
      <c r="I415">
        <v>0</v>
      </c>
    </row>
    <row r="416" spans="1:9" x14ac:dyDescent="0.3">
      <c r="A416">
        <v>0</v>
      </c>
      <c r="B416">
        <v>138</v>
      </c>
      <c r="C416">
        <v>60</v>
      </c>
      <c r="D416">
        <v>35</v>
      </c>
      <c r="E416">
        <v>167</v>
      </c>
      <c r="F416">
        <v>34.6</v>
      </c>
      <c r="G416">
        <v>0.53400000000000003</v>
      </c>
      <c r="H416">
        <v>21</v>
      </c>
      <c r="I416">
        <v>1</v>
      </c>
    </row>
    <row r="417" spans="1:9" x14ac:dyDescent="0.3">
      <c r="A417">
        <v>3</v>
      </c>
      <c r="B417">
        <v>173</v>
      </c>
      <c r="C417">
        <v>84</v>
      </c>
      <c r="D417">
        <v>33</v>
      </c>
      <c r="E417">
        <v>474</v>
      </c>
      <c r="F417">
        <v>35.700000000000003</v>
      </c>
      <c r="G417">
        <v>0.25800000000000001</v>
      </c>
      <c r="H417">
        <v>22</v>
      </c>
      <c r="I417">
        <v>1</v>
      </c>
    </row>
    <row r="418" spans="1:9" x14ac:dyDescent="0.3">
      <c r="A418">
        <v>1</v>
      </c>
      <c r="B418">
        <v>97</v>
      </c>
      <c r="C418">
        <v>68</v>
      </c>
      <c r="D418">
        <v>21</v>
      </c>
      <c r="E418">
        <v>0</v>
      </c>
      <c r="F418">
        <v>27.2</v>
      </c>
      <c r="G418">
        <v>1.095</v>
      </c>
      <c r="H418">
        <v>22</v>
      </c>
      <c r="I418">
        <v>0</v>
      </c>
    </row>
    <row r="419" spans="1:9" x14ac:dyDescent="0.3">
      <c r="A419">
        <v>4</v>
      </c>
      <c r="B419">
        <v>144</v>
      </c>
      <c r="C419">
        <v>82</v>
      </c>
      <c r="D419">
        <v>32</v>
      </c>
      <c r="E419">
        <v>0</v>
      </c>
      <c r="F419">
        <v>38.5</v>
      </c>
      <c r="G419">
        <v>0.55400000000000005</v>
      </c>
      <c r="H419">
        <v>37</v>
      </c>
      <c r="I419">
        <v>1</v>
      </c>
    </row>
    <row r="420" spans="1:9" x14ac:dyDescent="0.3">
      <c r="A420">
        <v>1</v>
      </c>
      <c r="B420">
        <v>83</v>
      </c>
      <c r="C420">
        <v>68</v>
      </c>
      <c r="D420">
        <v>0</v>
      </c>
      <c r="E420">
        <v>0</v>
      </c>
      <c r="F420">
        <v>18.2</v>
      </c>
      <c r="G420">
        <v>0.624</v>
      </c>
      <c r="H420">
        <v>27</v>
      </c>
      <c r="I420">
        <v>0</v>
      </c>
    </row>
    <row r="421" spans="1:9" x14ac:dyDescent="0.3">
      <c r="A421">
        <v>3</v>
      </c>
      <c r="B421">
        <v>129</v>
      </c>
      <c r="C421">
        <v>64</v>
      </c>
      <c r="D421">
        <v>29</v>
      </c>
      <c r="E421">
        <v>115</v>
      </c>
      <c r="F421">
        <v>26.4</v>
      </c>
      <c r="G421">
        <v>0.219</v>
      </c>
      <c r="H421">
        <v>28</v>
      </c>
      <c r="I421">
        <v>1</v>
      </c>
    </row>
    <row r="422" spans="1:9" x14ac:dyDescent="0.3">
      <c r="A422">
        <v>1</v>
      </c>
      <c r="B422">
        <v>119</v>
      </c>
      <c r="C422">
        <v>88</v>
      </c>
      <c r="D422">
        <v>41</v>
      </c>
      <c r="E422">
        <v>170</v>
      </c>
      <c r="F422">
        <v>45.3</v>
      </c>
      <c r="G422">
        <v>0.50700000000000001</v>
      </c>
      <c r="H422">
        <v>26</v>
      </c>
      <c r="I422">
        <v>0</v>
      </c>
    </row>
    <row r="423" spans="1:9" x14ac:dyDescent="0.3">
      <c r="A423">
        <v>2</v>
      </c>
      <c r="B423">
        <v>94</v>
      </c>
      <c r="C423">
        <v>68</v>
      </c>
      <c r="D423">
        <v>18</v>
      </c>
      <c r="E423">
        <v>76</v>
      </c>
      <c r="F423">
        <v>26</v>
      </c>
      <c r="G423">
        <v>0.56100000000000005</v>
      </c>
      <c r="H423">
        <v>21</v>
      </c>
      <c r="I423">
        <v>0</v>
      </c>
    </row>
    <row r="424" spans="1:9" x14ac:dyDescent="0.3">
      <c r="A424">
        <v>0</v>
      </c>
      <c r="B424">
        <v>102</v>
      </c>
      <c r="C424">
        <v>64</v>
      </c>
      <c r="D424">
        <v>46</v>
      </c>
      <c r="E424">
        <v>78</v>
      </c>
      <c r="F424">
        <v>40.6</v>
      </c>
      <c r="G424">
        <v>0.496</v>
      </c>
      <c r="H424">
        <v>21</v>
      </c>
      <c r="I424">
        <v>0</v>
      </c>
    </row>
    <row r="425" spans="1:9" x14ac:dyDescent="0.3">
      <c r="A425">
        <v>2</v>
      </c>
      <c r="B425">
        <v>115</v>
      </c>
      <c r="C425">
        <v>64</v>
      </c>
      <c r="D425">
        <v>22</v>
      </c>
      <c r="E425">
        <v>0</v>
      </c>
      <c r="F425">
        <v>30.8</v>
      </c>
      <c r="G425">
        <v>0.42099999999999999</v>
      </c>
      <c r="H425">
        <v>21</v>
      </c>
      <c r="I425">
        <v>0</v>
      </c>
    </row>
    <row r="426" spans="1:9" x14ac:dyDescent="0.3">
      <c r="A426">
        <v>8</v>
      </c>
      <c r="B426">
        <v>151</v>
      </c>
      <c r="C426">
        <v>78</v>
      </c>
      <c r="D426">
        <v>32</v>
      </c>
      <c r="E426">
        <v>210</v>
      </c>
      <c r="F426">
        <v>42.9</v>
      </c>
      <c r="G426">
        <v>0.51600000000000001</v>
      </c>
      <c r="H426">
        <v>36</v>
      </c>
      <c r="I426">
        <v>1</v>
      </c>
    </row>
    <row r="427" spans="1:9" x14ac:dyDescent="0.3">
      <c r="A427">
        <v>4</v>
      </c>
      <c r="B427">
        <v>184</v>
      </c>
      <c r="C427">
        <v>78</v>
      </c>
      <c r="D427">
        <v>39</v>
      </c>
      <c r="E427">
        <v>277</v>
      </c>
      <c r="F427">
        <v>37</v>
      </c>
      <c r="G427">
        <v>0.26400000000000001</v>
      </c>
      <c r="H427">
        <v>31</v>
      </c>
      <c r="I427">
        <v>1</v>
      </c>
    </row>
    <row r="428" spans="1:9" x14ac:dyDescent="0.3">
      <c r="A428">
        <v>0</v>
      </c>
      <c r="B428">
        <v>94</v>
      </c>
      <c r="C428">
        <v>0</v>
      </c>
      <c r="D428">
        <v>0</v>
      </c>
      <c r="E428">
        <v>0</v>
      </c>
      <c r="F428">
        <v>0</v>
      </c>
      <c r="G428">
        <v>0.25600000000000001</v>
      </c>
      <c r="H428">
        <v>25</v>
      </c>
      <c r="I428">
        <v>0</v>
      </c>
    </row>
    <row r="429" spans="1:9" x14ac:dyDescent="0.3">
      <c r="A429">
        <v>1</v>
      </c>
      <c r="B429">
        <v>181</v>
      </c>
      <c r="C429">
        <v>64</v>
      </c>
      <c r="D429">
        <v>30</v>
      </c>
      <c r="E429">
        <v>180</v>
      </c>
      <c r="F429">
        <v>34.1</v>
      </c>
      <c r="G429">
        <v>0.32800000000000001</v>
      </c>
      <c r="H429">
        <v>38</v>
      </c>
      <c r="I429">
        <v>1</v>
      </c>
    </row>
    <row r="430" spans="1:9" x14ac:dyDescent="0.3">
      <c r="A430">
        <v>0</v>
      </c>
      <c r="B430">
        <v>135</v>
      </c>
      <c r="C430">
        <v>94</v>
      </c>
      <c r="D430">
        <v>46</v>
      </c>
      <c r="E430">
        <v>145</v>
      </c>
      <c r="F430">
        <v>40.6</v>
      </c>
      <c r="G430">
        <v>0.28399999999999997</v>
      </c>
      <c r="H430">
        <v>26</v>
      </c>
      <c r="I430">
        <v>0</v>
      </c>
    </row>
    <row r="431" spans="1:9" x14ac:dyDescent="0.3">
      <c r="A431">
        <v>1</v>
      </c>
      <c r="B431">
        <v>95</v>
      </c>
      <c r="C431">
        <v>82</v>
      </c>
      <c r="D431">
        <v>25</v>
      </c>
      <c r="E431">
        <v>180</v>
      </c>
      <c r="F431">
        <v>35</v>
      </c>
      <c r="G431">
        <v>0.23300000000000001</v>
      </c>
      <c r="H431">
        <v>43</v>
      </c>
      <c r="I431">
        <v>1</v>
      </c>
    </row>
    <row r="432" spans="1:9" x14ac:dyDescent="0.3">
      <c r="A432">
        <v>2</v>
      </c>
      <c r="B432">
        <v>99</v>
      </c>
      <c r="C432">
        <v>0</v>
      </c>
      <c r="D432">
        <v>0</v>
      </c>
      <c r="E432">
        <v>0</v>
      </c>
      <c r="F432">
        <v>22.2</v>
      </c>
      <c r="G432">
        <v>0.108</v>
      </c>
      <c r="H432">
        <v>23</v>
      </c>
      <c r="I432">
        <v>0</v>
      </c>
    </row>
    <row r="433" spans="1:9" x14ac:dyDescent="0.3">
      <c r="A433">
        <v>3</v>
      </c>
      <c r="B433">
        <v>89</v>
      </c>
      <c r="C433">
        <v>74</v>
      </c>
      <c r="D433">
        <v>16</v>
      </c>
      <c r="E433">
        <v>85</v>
      </c>
      <c r="F433">
        <v>30.4</v>
      </c>
      <c r="G433">
        <v>0.55100000000000005</v>
      </c>
      <c r="H433">
        <v>38</v>
      </c>
      <c r="I433">
        <v>0</v>
      </c>
    </row>
    <row r="434" spans="1:9" x14ac:dyDescent="0.3">
      <c r="A434">
        <v>1</v>
      </c>
      <c r="B434">
        <v>80</v>
      </c>
      <c r="C434">
        <v>74</v>
      </c>
      <c r="D434">
        <v>11</v>
      </c>
      <c r="E434">
        <v>60</v>
      </c>
      <c r="F434">
        <v>30</v>
      </c>
      <c r="G434">
        <v>0.52700000000000002</v>
      </c>
      <c r="H434">
        <v>22</v>
      </c>
      <c r="I434">
        <v>0</v>
      </c>
    </row>
    <row r="435" spans="1:9" x14ac:dyDescent="0.3">
      <c r="A435">
        <v>2</v>
      </c>
      <c r="B435">
        <v>139</v>
      </c>
      <c r="C435">
        <v>75</v>
      </c>
      <c r="D435">
        <v>0</v>
      </c>
      <c r="E435">
        <v>0</v>
      </c>
      <c r="F435">
        <v>25.6</v>
      </c>
      <c r="G435">
        <v>0.16700000000000001</v>
      </c>
      <c r="H435">
        <v>29</v>
      </c>
      <c r="I435">
        <v>0</v>
      </c>
    </row>
    <row r="436" spans="1:9" x14ac:dyDescent="0.3">
      <c r="A436">
        <v>1</v>
      </c>
      <c r="B436">
        <v>90</v>
      </c>
      <c r="C436">
        <v>68</v>
      </c>
      <c r="D436">
        <v>8</v>
      </c>
      <c r="E436">
        <v>0</v>
      </c>
      <c r="F436">
        <v>24.5</v>
      </c>
      <c r="G436">
        <v>1.1379999999999999</v>
      </c>
      <c r="H436">
        <v>36</v>
      </c>
      <c r="I436">
        <v>0</v>
      </c>
    </row>
    <row r="437" spans="1:9" x14ac:dyDescent="0.3">
      <c r="A437">
        <v>0</v>
      </c>
      <c r="B437">
        <v>141</v>
      </c>
      <c r="C437">
        <v>0</v>
      </c>
      <c r="D437">
        <v>0</v>
      </c>
      <c r="E437">
        <v>0</v>
      </c>
      <c r="F437">
        <v>42.4</v>
      </c>
      <c r="G437">
        <v>0.20499999999999999</v>
      </c>
      <c r="H437">
        <v>29</v>
      </c>
      <c r="I437">
        <v>1</v>
      </c>
    </row>
    <row r="438" spans="1:9" x14ac:dyDescent="0.3">
      <c r="A438">
        <v>12</v>
      </c>
      <c r="B438">
        <v>140</v>
      </c>
      <c r="C438">
        <v>85</v>
      </c>
      <c r="D438">
        <v>33</v>
      </c>
      <c r="E438">
        <v>0</v>
      </c>
      <c r="F438">
        <v>37.4</v>
      </c>
      <c r="G438">
        <v>0.24399999999999999</v>
      </c>
      <c r="H438">
        <v>41</v>
      </c>
      <c r="I438">
        <v>0</v>
      </c>
    </row>
    <row r="439" spans="1:9" x14ac:dyDescent="0.3">
      <c r="A439">
        <v>5</v>
      </c>
      <c r="B439">
        <v>147</v>
      </c>
      <c r="C439">
        <v>75</v>
      </c>
      <c r="D439">
        <v>0</v>
      </c>
      <c r="E439">
        <v>0</v>
      </c>
      <c r="F439">
        <v>29.9</v>
      </c>
      <c r="G439">
        <v>0.434</v>
      </c>
      <c r="H439">
        <v>28</v>
      </c>
      <c r="I439">
        <v>0</v>
      </c>
    </row>
    <row r="440" spans="1:9" x14ac:dyDescent="0.3">
      <c r="A440">
        <v>1</v>
      </c>
      <c r="B440">
        <v>97</v>
      </c>
      <c r="C440">
        <v>70</v>
      </c>
      <c r="D440">
        <v>15</v>
      </c>
      <c r="E440">
        <v>0</v>
      </c>
      <c r="F440">
        <v>18.2</v>
      </c>
      <c r="G440">
        <v>0.14699999999999999</v>
      </c>
      <c r="H440">
        <v>21</v>
      </c>
      <c r="I440">
        <v>0</v>
      </c>
    </row>
    <row r="441" spans="1:9" x14ac:dyDescent="0.3">
      <c r="A441">
        <v>6</v>
      </c>
      <c r="B441">
        <v>107</v>
      </c>
      <c r="C441">
        <v>88</v>
      </c>
      <c r="D441">
        <v>0</v>
      </c>
      <c r="E441">
        <v>0</v>
      </c>
      <c r="F441">
        <v>36.799999999999997</v>
      </c>
      <c r="G441">
        <v>0.72699999999999998</v>
      </c>
      <c r="H441">
        <v>31</v>
      </c>
      <c r="I441">
        <v>0</v>
      </c>
    </row>
    <row r="442" spans="1:9" x14ac:dyDescent="0.3">
      <c r="A442">
        <v>0</v>
      </c>
      <c r="B442">
        <v>189</v>
      </c>
      <c r="C442">
        <v>104</v>
      </c>
      <c r="D442">
        <v>25</v>
      </c>
      <c r="E442">
        <v>0</v>
      </c>
      <c r="F442">
        <v>34.299999999999997</v>
      </c>
      <c r="G442">
        <v>0.435</v>
      </c>
      <c r="H442">
        <v>41</v>
      </c>
      <c r="I442">
        <v>1</v>
      </c>
    </row>
    <row r="443" spans="1:9" x14ac:dyDescent="0.3">
      <c r="A443">
        <v>2</v>
      </c>
      <c r="B443">
        <v>83</v>
      </c>
      <c r="C443">
        <v>66</v>
      </c>
      <c r="D443">
        <v>23</v>
      </c>
      <c r="E443">
        <v>50</v>
      </c>
      <c r="F443">
        <v>32.200000000000003</v>
      </c>
      <c r="G443">
        <v>0.497</v>
      </c>
      <c r="H443">
        <v>22</v>
      </c>
      <c r="I443">
        <v>0</v>
      </c>
    </row>
    <row r="444" spans="1:9" x14ac:dyDescent="0.3">
      <c r="A444">
        <v>4</v>
      </c>
      <c r="B444">
        <v>117</v>
      </c>
      <c r="C444">
        <v>64</v>
      </c>
      <c r="D444">
        <v>27</v>
      </c>
      <c r="E444">
        <v>120</v>
      </c>
      <c r="F444">
        <v>33.200000000000003</v>
      </c>
      <c r="G444">
        <v>0.23</v>
      </c>
      <c r="H444">
        <v>24</v>
      </c>
      <c r="I444">
        <v>0</v>
      </c>
    </row>
    <row r="445" spans="1:9" x14ac:dyDescent="0.3">
      <c r="A445">
        <v>8</v>
      </c>
      <c r="B445">
        <v>108</v>
      </c>
      <c r="C445">
        <v>70</v>
      </c>
      <c r="D445">
        <v>0</v>
      </c>
      <c r="E445">
        <v>0</v>
      </c>
      <c r="F445">
        <v>30.5</v>
      </c>
      <c r="G445">
        <v>0.95499999999999996</v>
      </c>
      <c r="H445">
        <v>33</v>
      </c>
      <c r="I445">
        <v>1</v>
      </c>
    </row>
    <row r="446" spans="1:9" x14ac:dyDescent="0.3">
      <c r="A446">
        <v>4</v>
      </c>
      <c r="B446">
        <v>117</v>
      </c>
      <c r="C446">
        <v>62</v>
      </c>
      <c r="D446">
        <v>12</v>
      </c>
      <c r="E446">
        <v>0</v>
      </c>
      <c r="F446">
        <v>29.7</v>
      </c>
      <c r="G446">
        <v>0.38</v>
      </c>
      <c r="H446">
        <v>30</v>
      </c>
      <c r="I446">
        <v>1</v>
      </c>
    </row>
    <row r="447" spans="1:9" x14ac:dyDescent="0.3">
      <c r="A447">
        <v>0</v>
      </c>
      <c r="B447">
        <v>180</v>
      </c>
      <c r="C447">
        <v>78</v>
      </c>
      <c r="D447">
        <v>63</v>
      </c>
      <c r="E447">
        <v>14</v>
      </c>
      <c r="F447">
        <v>59.4</v>
      </c>
      <c r="G447">
        <v>2.42</v>
      </c>
      <c r="H447">
        <v>25</v>
      </c>
      <c r="I447">
        <v>1</v>
      </c>
    </row>
    <row r="448" spans="1:9" x14ac:dyDescent="0.3">
      <c r="A448">
        <v>1</v>
      </c>
      <c r="B448">
        <v>100</v>
      </c>
      <c r="C448">
        <v>72</v>
      </c>
      <c r="D448">
        <v>12</v>
      </c>
      <c r="E448">
        <v>70</v>
      </c>
      <c r="F448">
        <v>25.3</v>
      </c>
      <c r="G448">
        <v>0.65800000000000003</v>
      </c>
      <c r="H448">
        <v>28</v>
      </c>
      <c r="I448">
        <v>0</v>
      </c>
    </row>
    <row r="449" spans="1:9" x14ac:dyDescent="0.3">
      <c r="A449">
        <v>0</v>
      </c>
      <c r="B449">
        <v>95</v>
      </c>
      <c r="C449">
        <v>80</v>
      </c>
      <c r="D449">
        <v>45</v>
      </c>
      <c r="E449">
        <v>92</v>
      </c>
      <c r="F449">
        <v>36.5</v>
      </c>
      <c r="G449">
        <v>0.33</v>
      </c>
      <c r="H449">
        <v>26</v>
      </c>
      <c r="I449">
        <v>0</v>
      </c>
    </row>
    <row r="450" spans="1:9" x14ac:dyDescent="0.3">
      <c r="A450">
        <v>0</v>
      </c>
      <c r="B450">
        <v>104</v>
      </c>
      <c r="C450">
        <v>64</v>
      </c>
      <c r="D450">
        <v>37</v>
      </c>
      <c r="E450">
        <v>64</v>
      </c>
      <c r="F450">
        <v>33.6</v>
      </c>
      <c r="G450">
        <v>0.51</v>
      </c>
      <c r="H450">
        <v>22</v>
      </c>
      <c r="I450">
        <v>1</v>
      </c>
    </row>
    <row r="451" spans="1:9" x14ac:dyDescent="0.3">
      <c r="A451">
        <v>0</v>
      </c>
      <c r="B451">
        <v>120</v>
      </c>
      <c r="C451">
        <v>74</v>
      </c>
      <c r="D451">
        <v>18</v>
      </c>
      <c r="E451">
        <v>63</v>
      </c>
      <c r="F451">
        <v>30.5</v>
      </c>
      <c r="G451">
        <v>0.28499999999999998</v>
      </c>
      <c r="H451">
        <v>26</v>
      </c>
      <c r="I451">
        <v>0</v>
      </c>
    </row>
    <row r="452" spans="1:9" x14ac:dyDescent="0.3">
      <c r="A452">
        <v>1</v>
      </c>
      <c r="B452">
        <v>82</v>
      </c>
      <c r="C452">
        <v>64</v>
      </c>
      <c r="D452">
        <v>13</v>
      </c>
      <c r="E452">
        <v>95</v>
      </c>
      <c r="F452">
        <v>21.2</v>
      </c>
      <c r="G452">
        <v>0.41499999999999998</v>
      </c>
      <c r="H452">
        <v>23</v>
      </c>
      <c r="I452">
        <v>0</v>
      </c>
    </row>
    <row r="453" spans="1:9" x14ac:dyDescent="0.3">
      <c r="A453">
        <v>2</v>
      </c>
      <c r="B453">
        <v>134</v>
      </c>
      <c r="C453">
        <v>70</v>
      </c>
      <c r="D453">
        <v>0</v>
      </c>
      <c r="E453">
        <v>0</v>
      </c>
      <c r="F453">
        <v>28.9</v>
      </c>
      <c r="G453">
        <v>0.54200000000000004</v>
      </c>
      <c r="H453">
        <v>23</v>
      </c>
      <c r="I453">
        <v>1</v>
      </c>
    </row>
    <row r="454" spans="1:9" x14ac:dyDescent="0.3">
      <c r="A454">
        <v>0</v>
      </c>
      <c r="B454">
        <v>91</v>
      </c>
      <c r="C454">
        <v>68</v>
      </c>
      <c r="D454">
        <v>32</v>
      </c>
      <c r="E454">
        <v>210</v>
      </c>
      <c r="F454">
        <v>39.9</v>
      </c>
      <c r="G454">
        <v>0.38100000000000001</v>
      </c>
      <c r="H454">
        <v>25</v>
      </c>
      <c r="I454">
        <v>0</v>
      </c>
    </row>
    <row r="455" spans="1:9" x14ac:dyDescent="0.3">
      <c r="A455">
        <v>2</v>
      </c>
      <c r="B455">
        <v>119</v>
      </c>
      <c r="C455">
        <v>0</v>
      </c>
      <c r="D455">
        <v>0</v>
      </c>
      <c r="E455">
        <v>0</v>
      </c>
      <c r="F455">
        <v>19.600000000000001</v>
      </c>
      <c r="G455">
        <v>0.83199999999999996</v>
      </c>
      <c r="H455">
        <v>72</v>
      </c>
      <c r="I455">
        <v>0</v>
      </c>
    </row>
    <row r="456" spans="1:9" x14ac:dyDescent="0.3">
      <c r="A456">
        <v>2</v>
      </c>
      <c r="B456">
        <v>100</v>
      </c>
      <c r="C456">
        <v>54</v>
      </c>
      <c r="D456">
        <v>28</v>
      </c>
      <c r="E456">
        <v>105</v>
      </c>
      <c r="F456">
        <v>37.799999999999997</v>
      </c>
      <c r="G456">
        <v>0.498</v>
      </c>
      <c r="H456">
        <v>24</v>
      </c>
      <c r="I456">
        <v>0</v>
      </c>
    </row>
    <row r="457" spans="1:9" x14ac:dyDescent="0.3">
      <c r="A457">
        <v>14</v>
      </c>
      <c r="B457">
        <v>175</v>
      </c>
      <c r="C457">
        <v>62</v>
      </c>
      <c r="D457">
        <v>30</v>
      </c>
      <c r="E457">
        <v>0</v>
      </c>
      <c r="F457">
        <v>33.6</v>
      </c>
      <c r="G457">
        <v>0.21199999999999999</v>
      </c>
      <c r="H457">
        <v>38</v>
      </c>
      <c r="I457">
        <v>1</v>
      </c>
    </row>
    <row r="458" spans="1:9" x14ac:dyDescent="0.3">
      <c r="A458">
        <v>1</v>
      </c>
      <c r="B458">
        <v>135</v>
      </c>
      <c r="C458">
        <v>54</v>
      </c>
      <c r="D458">
        <v>0</v>
      </c>
      <c r="E458">
        <v>0</v>
      </c>
      <c r="F458">
        <v>26.7</v>
      </c>
      <c r="G458">
        <v>0.68700000000000006</v>
      </c>
      <c r="H458">
        <v>62</v>
      </c>
      <c r="I458">
        <v>0</v>
      </c>
    </row>
    <row r="459" spans="1:9" x14ac:dyDescent="0.3">
      <c r="A459">
        <v>5</v>
      </c>
      <c r="B459">
        <v>86</v>
      </c>
      <c r="C459">
        <v>68</v>
      </c>
      <c r="D459">
        <v>28</v>
      </c>
      <c r="E459">
        <v>71</v>
      </c>
      <c r="F459">
        <v>30.2</v>
      </c>
      <c r="G459">
        <v>0.36399999999999999</v>
      </c>
      <c r="H459">
        <v>24</v>
      </c>
      <c r="I459">
        <v>0</v>
      </c>
    </row>
    <row r="460" spans="1:9" x14ac:dyDescent="0.3">
      <c r="A460">
        <v>10</v>
      </c>
      <c r="B460">
        <v>148</v>
      </c>
      <c r="C460">
        <v>84</v>
      </c>
      <c r="D460">
        <v>48</v>
      </c>
      <c r="E460">
        <v>237</v>
      </c>
      <c r="F460">
        <v>37.6</v>
      </c>
      <c r="G460">
        <v>1.0009999999999999</v>
      </c>
      <c r="H460">
        <v>51</v>
      </c>
      <c r="I460">
        <v>1</v>
      </c>
    </row>
    <row r="461" spans="1:9" x14ac:dyDescent="0.3">
      <c r="A461">
        <v>9</v>
      </c>
      <c r="B461">
        <v>134</v>
      </c>
      <c r="C461">
        <v>74</v>
      </c>
      <c r="D461">
        <v>33</v>
      </c>
      <c r="E461">
        <v>60</v>
      </c>
      <c r="F461">
        <v>25.9</v>
      </c>
      <c r="G461">
        <v>0.46</v>
      </c>
      <c r="H461">
        <v>81</v>
      </c>
      <c r="I461">
        <v>0</v>
      </c>
    </row>
    <row r="462" spans="1:9" x14ac:dyDescent="0.3">
      <c r="A462">
        <v>9</v>
      </c>
      <c r="B462">
        <v>120</v>
      </c>
      <c r="C462">
        <v>72</v>
      </c>
      <c r="D462">
        <v>22</v>
      </c>
      <c r="E462">
        <v>56</v>
      </c>
      <c r="F462">
        <v>20.8</v>
      </c>
      <c r="G462">
        <v>0.73299999999999998</v>
      </c>
      <c r="H462">
        <v>48</v>
      </c>
      <c r="I462">
        <v>0</v>
      </c>
    </row>
    <row r="463" spans="1:9" x14ac:dyDescent="0.3">
      <c r="A463">
        <v>1</v>
      </c>
      <c r="B463">
        <v>71</v>
      </c>
      <c r="C463">
        <v>62</v>
      </c>
      <c r="D463">
        <v>0</v>
      </c>
      <c r="E463">
        <v>0</v>
      </c>
      <c r="F463">
        <v>21.8</v>
      </c>
      <c r="G463">
        <v>0.41599999999999998</v>
      </c>
      <c r="H463">
        <v>26</v>
      </c>
      <c r="I463">
        <v>0</v>
      </c>
    </row>
    <row r="464" spans="1:9" x14ac:dyDescent="0.3">
      <c r="A464">
        <v>8</v>
      </c>
      <c r="B464">
        <v>74</v>
      </c>
      <c r="C464">
        <v>70</v>
      </c>
      <c r="D464">
        <v>40</v>
      </c>
      <c r="E464">
        <v>49</v>
      </c>
      <c r="F464">
        <v>35.299999999999997</v>
      </c>
      <c r="G464">
        <v>0.70499999999999996</v>
      </c>
      <c r="H464">
        <v>39</v>
      </c>
      <c r="I464">
        <v>0</v>
      </c>
    </row>
    <row r="465" spans="1:9" x14ac:dyDescent="0.3">
      <c r="A465">
        <v>5</v>
      </c>
      <c r="B465">
        <v>88</v>
      </c>
      <c r="C465">
        <v>78</v>
      </c>
      <c r="D465">
        <v>30</v>
      </c>
      <c r="E465">
        <v>0</v>
      </c>
      <c r="F465">
        <v>27.6</v>
      </c>
      <c r="G465">
        <v>0.25800000000000001</v>
      </c>
      <c r="H465">
        <v>37</v>
      </c>
      <c r="I465">
        <v>0</v>
      </c>
    </row>
    <row r="466" spans="1:9" x14ac:dyDescent="0.3">
      <c r="A466">
        <v>10</v>
      </c>
      <c r="B466">
        <v>115</v>
      </c>
      <c r="C466">
        <v>98</v>
      </c>
      <c r="D466">
        <v>0</v>
      </c>
      <c r="E466">
        <v>0</v>
      </c>
      <c r="F466">
        <v>24</v>
      </c>
      <c r="G466">
        <v>1.022</v>
      </c>
      <c r="H466">
        <v>34</v>
      </c>
      <c r="I466">
        <v>0</v>
      </c>
    </row>
    <row r="467" spans="1:9" x14ac:dyDescent="0.3">
      <c r="A467">
        <v>0</v>
      </c>
      <c r="B467">
        <v>124</v>
      </c>
      <c r="C467">
        <v>56</v>
      </c>
      <c r="D467">
        <v>13</v>
      </c>
      <c r="E467">
        <v>105</v>
      </c>
      <c r="F467">
        <v>21.8</v>
      </c>
      <c r="G467">
        <v>0.45200000000000001</v>
      </c>
      <c r="H467">
        <v>21</v>
      </c>
      <c r="I467">
        <v>0</v>
      </c>
    </row>
    <row r="468" spans="1:9" x14ac:dyDescent="0.3">
      <c r="A468">
        <v>0</v>
      </c>
      <c r="B468">
        <v>74</v>
      </c>
      <c r="C468">
        <v>52</v>
      </c>
      <c r="D468">
        <v>10</v>
      </c>
      <c r="E468">
        <v>36</v>
      </c>
      <c r="F468">
        <v>27.8</v>
      </c>
      <c r="G468">
        <v>0.26900000000000002</v>
      </c>
      <c r="H468">
        <v>22</v>
      </c>
      <c r="I468">
        <v>0</v>
      </c>
    </row>
    <row r="469" spans="1:9" x14ac:dyDescent="0.3">
      <c r="A469">
        <v>0</v>
      </c>
      <c r="B469">
        <v>97</v>
      </c>
      <c r="C469">
        <v>64</v>
      </c>
      <c r="D469">
        <v>36</v>
      </c>
      <c r="E469">
        <v>100</v>
      </c>
      <c r="F469">
        <v>36.799999999999997</v>
      </c>
      <c r="G469">
        <v>0.6</v>
      </c>
      <c r="H469">
        <v>25</v>
      </c>
      <c r="I469">
        <v>0</v>
      </c>
    </row>
    <row r="470" spans="1:9" x14ac:dyDescent="0.3">
      <c r="A470">
        <v>8</v>
      </c>
      <c r="B470">
        <v>120</v>
      </c>
      <c r="C470">
        <v>0</v>
      </c>
      <c r="D470">
        <v>0</v>
      </c>
      <c r="E470">
        <v>0</v>
      </c>
      <c r="F470">
        <v>30</v>
      </c>
      <c r="G470">
        <v>0.183</v>
      </c>
      <c r="H470">
        <v>38</v>
      </c>
      <c r="I470">
        <v>1</v>
      </c>
    </row>
    <row r="471" spans="1:9" x14ac:dyDescent="0.3">
      <c r="A471">
        <v>6</v>
      </c>
      <c r="B471">
        <v>154</v>
      </c>
      <c r="C471">
        <v>78</v>
      </c>
      <c r="D471">
        <v>41</v>
      </c>
      <c r="E471">
        <v>140</v>
      </c>
      <c r="F471">
        <v>46.1</v>
      </c>
      <c r="G471">
        <v>0.57099999999999995</v>
      </c>
      <c r="H471">
        <v>27</v>
      </c>
      <c r="I471">
        <v>0</v>
      </c>
    </row>
    <row r="472" spans="1:9" x14ac:dyDescent="0.3">
      <c r="A472">
        <v>1</v>
      </c>
      <c r="B472">
        <v>144</v>
      </c>
      <c r="C472">
        <v>82</v>
      </c>
      <c r="D472">
        <v>40</v>
      </c>
      <c r="E472">
        <v>0</v>
      </c>
      <c r="F472">
        <v>41.3</v>
      </c>
      <c r="G472">
        <v>0.60699999999999998</v>
      </c>
      <c r="H472">
        <v>28</v>
      </c>
      <c r="I472">
        <v>0</v>
      </c>
    </row>
    <row r="473" spans="1:9" x14ac:dyDescent="0.3">
      <c r="A473">
        <v>0</v>
      </c>
      <c r="B473">
        <v>137</v>
      </c>
      <c r="C473">
        <v>70</v>
      </c>
      <c r="D473">
        <v>38</v>
      </c>
      <c r="E473">
        <v>0</v>
      </c>
      <c r="F473">
        <v>33.200000000000003</v>
      </c>
      <c r="G473">
        <v>0.17</v>
      </c>
      <c r="H473">
        <v>22</v>
      </c>
      <c r="I473">
        <v>0</v>
      </c>
    </row>
    <row r="474" spans="1:9" x14ac:dyDescent="0.3">
      <c r="A474">
        <v>0</v>
      </c>
      <c r="B474">
        <v>119</v>
      </c>
      <c r="C474">
        <v>66</v>
      </c>
      <c r="D474">
        <v>27</v>
      </c>
      <c r="E474">
        <v>0</v>
      </c>
      <c r="F474">
        <v>38.799999999999997</v>
      </c>
      <c r="G474">
        <v>0.25900000000000001</v>
      </c>
      <c r="H474">
        <v>22</v>
      </c>
      <c r="I474">
        <v>0</v>
      </c>
    </row>
    <row r="475" spans="1:9" x14ac:dyDescent="0.3">
      <c r="A475">
        <v>7</v>
      </c>
      <c r="B475">
        <v>136</v>
      </c>
      <c r="C475">
        <v>90</v>
      </c>
      <c r="D475">
        <v>0</v>
      </c>
      <c r="E475">
        <v>0</v>
      </c>
      <c r="F475">
        <v>29.9</v>
      </c>
      <c r="G475">
        <v>0.21</v>
      </c>
      <c r="H475">
        <v>50</v>
      </c>
      <c r="I475">
        <v>0</v>
      </c>
    </row>
    <row r="476" spans="1:9" x14ac:dyDescent="0.3">
      <c r="A476">
        <v>4</v>
      </c>
      <c r="B476">
        <v>114</v>
      </c>
      <c r="C476">
        <v>64</v>
      </c>
      <c r="D476">
        <v>0</v>
      </c>
      <c r="E476">
        <v>0</v>
      </c>
      <c r="F476">
        <v>28.9</v>
      </c>
      <c r="G476">
        <v>0.126</v>
      </c>
      <c r="H476">
        <v>24</v>
      </c>
      <c r="I476">
        <v>0</v>
      </c>
    </row>
    <row r="477" spans="1:9" x14ac:dyDescent="0.3">
      <c r="A477">
        <v>0</v>
      </c>
      <c r="B477">
        <v>137</v>
      </c>
      <c r="C477">
        <v>84</v>
      </c>
      <c r="D477">
        <v>27</v>
      </c>
      <c r="E477">
        <v>0</v>
      </c>
      <c r="F477">
        <v>27.3</v>
      </c>
      <c r="G477">
        <v>0.23100000000000001</v>
      </c>
      <c r="H477">
        <v>59</v>
      </c>
      <c r="I477">
        <v>0</v>
      </c>
    </row>
    <row r="478" spans="1:9" x14ac:dyDescent="0.3">
      <c r="A478">
        <v>2</v>
      </c>
      <c r="B478">
        <v>105</v>
      </c>
      <c r="C478">
        <v>80</v>
      </c>
      <c r="D478">
        <v>45</v>
      </c>
      <c r="E478">
        <v>191</v>
      </c>
      <c r="F478">
        <v>33.700000000000003</v>
      </c>
      <c r="G478">
        <v>0.71099999999999997</v>
      </c>
      <c r="H478">
        <v>29</v>
      </c>
      <c r="I478">
        <v>1</v>
      </c>
    </row>
    <row r="479" spans="1:9" x14ac:dyDescent="0.3">
      <c r="A479">
        <v>7</v>
      </c>
      <c r="B479">
        <v>114</v>
      </c>
      <c r="C479">
        <v>76</v>
      </c>
      <c r="D479">
        <v>17</v>
      </c>
      <c r="E479">
        <v>110</v>
      </c>
      <c r="F479">
        <v>23.8</v>
      </c>
      <c r="G479">
        <v>0.46600000000000003</v>
      </c>
      <c r="H479">
        <v>31</v>
      </c>
      <c r="I479">
        <v>0</v>
      </c>
    </row>
    <row r="480" spans="1:9" x14ac:dyDescent="0.3">
      <c r="A480">
        <v>8</v>
      </c>
      <c r="B480">
        <v>126</v>
      </c>
      <c r="C480">
        <v>74</v>
      </c>
      <c r="D480">
        <v>38</v>
      </c>
      <c r="E480">
        <v>75</v>
      </c>
      <c r="F480">
        <v>25.9</v>
      </c>
      <c r="G480">
        <v>0.16200000000000001</v>
      </c>
      <c r="H480">
        <v>39</v>
      </c>
      <c r="I480">
        <v>0</v>
      </c>
    </row>
    <row r="481" spans="1:9" x14ac:dyDescent="0.3">
      <c r="A481">
        <v>4</v>
      </c>
      <c r="B481">
        <v>132</v>
      </c>
      <c r="C481">
        <v>86</v>
      </c>
      <c r="D481">
        <v>31</v>
      </c>
      <c r="E481">
        <v>0</v>
      </c>
      <c r="F481">
        <v>28</v>
      </c>
      <c r="G481">
        <v>0.41899999999999998</v>
      </c>
      <c r="H481">
        <v>63</v>
      </c>
      <c r="I481">
        <v>0</v>
      </c>
    </row>
    <row r="482" spans="1:9" x14ac:dyDescent="0.3">
      <c r="A482">
        <v>3</v>
      </c>
      <c r="B482">
        <v>158</v>
      </c>
      <c r="C482">
        <v>70</v>
      </c>
      <c r="D482">
        <v>30</v>
      </c>
      <c r="E482">
        <v>328</v>
      </c>
      <c r="F482">
        <v>35.5</v>
      </c>
      <c r="G482">
        <v>0.34399999999999997</v>
      </c>
      <c r="H482">
        <v>35</v>
      </c>
      <c r="I482">
        <v>1</v>
      </c>
    </row>
    <row r="483" spans="1:9" x14ac:dyDescent="0.3">
      <c r="A483">
        <v>0</v>
      </c>
      <c r="B483">
        <v>123</v>
      </c>
      <c r="C483">
        <v>88</v>
      </c>
      <c r="D483">
        <v>37</v>
      </c>
      <c r="E483">
        <v>0</v>
      </c>
      <c r="F483">
        <v>35.200000000000003</v>
      </c>
      <c r="G483">
        <v>0.19700000000000001</v>
      </c>
      <c r="H483">
        <v>29</v>
      </c>
      <c r="I483">
        <v>0</v>
      </c>
    </row>
    <row r="484" spans="1:9" x14ac:dyDescent="0.3">
      <c r="A484">
        <v>4</v>
      </c>
      <c r="B484">
        <v>85</v>
      </c>
      <c r="C484">
        <v>58</v>
      </c>
      <c r="D484">
        <v>22</v>
      </c>
      <c r="E484">
        <v>49</v>
      </c>
      <c r="F484">
        <v>27.8</v>
      </c>
      <c r="G484">
        <v>0.30599999999999999</v>
      </c>
      <c r="H484">
        <v>28</v>
      </c>
      <c r="I484">
        <v>0</v>
      </c>
    </row>
    <row r="485" spans="1:9" x14ac:dyDescent="0.3">
      <c r="A485">
        <v>0</v>
      </c>
      <c r="B485">
        <v>84</v>
      </c>
      <c r="C485">
        <v>82</v>
      </c>
      <c r="D485">
        <v>31</v>
      </c>
      <c r="E485">
        <v>125</v>
      </c>
      <c r="F485">
        <v>38.200000000000003</v>
      </c>
      <c r="G485">
        <v>0.23300000000000001</v>
      </c>
      <c r="H485">
        <v>23</v>
      </c>
      <c r="I485">
        <v>0</v>
      </c>
    </row>
    <row r="486" spans="1:9" x14ac:dyDescent="0.3">
      <c r="A486">
        <v>0</v>
      </c>
      <c r="B486">
        <v>145</v>
      </c>
      <c r="C486">
        <v>0</v>
      </c>
      <c r="D486">
        <v>0</v>
      </c>
      <c r="E486">
        <v>0</v>
      </c>
      <c r="F486">
        <v>44.2</v>
      </c>
      <c r="G486">
        <v>0.63</v>
      </c>
      <c r="H486">
        <v>31</v>
      </c>
      <c r="I486">
        <v>1</v>
      </c>
    </row>
    <row r="487" spans="1:9" x14ac:dyDescent="0.3">
      <c r="A487">
        <v>0</v>
      </c>
      <c r="B487">
        <v>135</v>
      </c>
      <c r="C487">
        <v>68</v>
      </c>
      <c r="D487">
        <v>42</v>
      </c>
      <c r="E487">
        <v>250</v>
      </c>
      <c r="F487">
        <v>42.3</v>
      </c>
      <c r="G487">
        <v>0.36499999999999999</v>
      </c>
      <c r="H487">
        <v>24</v>
      </c>
      <c r="I487">
        <v>1</v>
      </c>
    </row>
    <row r="488" spans="1:9" x14ac:dyDescent="0.3">
      <c r="A488">
        <v>1</v>
      </c>
      <c r="B488">
        <v>139</v>
      </c>
      <c r="C488">
        <v>62</v>
      </c>
      <c r="D488">
        <v>41</v>
      </c>
      <c r="E488">
        <v>480</v>
      </c>
      <c r="F488">
        <v>40.700000000000003</v>
      </c>
      <c r="G488">
        <v>0.53600000000000003</v>
      </c>
      <c r="H488">
        <v>21</v>
      </c>
      <c r="I488">
        <v>0</v>
      </c>
    </row>
    <row r="489" spans="1:9" x14ac:dyDescent="0.3">
      <c r="A489">
        <v>0</v>
      </c>
      <c r="B489">
        <v>173</v>
      </c>
      <c r="C489">
        <v>78</v>
      </c>
      <c r="D489">
        <v>32</v>
      </c>
      <c r="E489">
        <v>265</v>
      </c>
      <c r="F489">
        <v>46.5</v>
      </c>
      <c r="G489">
        <v>1.159</v>
      </c>
      <c r="H489">
        <v>58</v>
      </c>
      <c r="I489">
        <v>0</v>
      </c>
    </row>
    <row r="490" spans="1:9" x14ac:dyDescent="0.3">
      <c r="A490">
        <v>4</v>
      </c>
      <c r="B490">
        <v>99</v>
      </c>
      <c r="C490">
        <v>72</v>
      </c>
      <c r="D490">
        <v>17</v>
      </c>
      <c r="E490">
        <v>0</v>
      </c>
      <c r="F490">
        <v>25.6</v>
      </c>
      <c r="G490">
        <v>0.29399999999999998</v>
      </c>
      <c r="H490">
        <v>28</v>
      </c>
      <c r="I490">
        <v>0</v>
      </c>
    </row>
    <row r="491" spans="1:9" x14ac:dyDescent="0.3">
      <c r="A491">
        <v>8</v>
      </c>
      <c r="B491">
        <v>194</v>
      </c>
      <c r="C491">
        <v>80</v>
      </c>
      <c r="D491">
        <v>0</v>
      </c>
      <c r="E491">
        <v>0</v>
      </c>
      <c r="F491">
        <v>26.1</v>
      </c>
      <c r="G491">
        <v>0.55100000000000005</v>
      </c>
      <c r="H491">
        <v>67</v>
      </c>
      <c r="I491">
        <v>0</v>
      </c>
    </row>
    <row r="492" spans="1:9" x14ac:dyDescent="0.3">
      <c r="A492">
        <v>2</v>
      </c>
      <c r="B492">
        <v>83</v>
      </c>
      <c r="C492">
        <v>65</v>
      </c>
      <c r="D492">
        <v>28</v>
      </c>
      <c r="E492">
        <v>66</v>
      </c>
      <c r="F492">
        <v>36.799999999999997</v>
      </c>
      <c r="G492">
        <v>0.629</v>
      </c>
      <c r="H492">
        <v>24</v>
      </c>
      <c r="I492">
        <v>0</v>
      </c>
    </row>
    <row r="493" spans="1:9" x14ac:dyDescent="0.3">
      <c r="A493">
        <v>2</v>
      </c>
      <c r="B493">
        <v>89</v>
      </c>
      <c r="C493">
        <v>90</v>
      </c>
      <c r="D493">
        <v>30</v>
      </c>
      <c r="E493">
        <v>0</v>
      </c>
      <c r="F493">
        <v>33.5</v>
      </c>
      <c r="G493">
        <v>0.29199999999999998</v>
      </c>
      <c r="H493">
        <v>42</v>
      </c>
      <c r="I493">
        <v>0</v>
      </c>
    </row>
    <row r="494" spans="1:9" x14ac:dyDescent="0.3">
      <c r="A494">
        <v>4</v>
      </c>
      <c r="B494">
        <v>99</v>
      </c>
      <c r="C494">
        <v>68</v>
      </c>
      <c r="D494">
        <v>38</v>
      </c>
      <c r="E494">
        <v>0</v>
      </c>
      <c r="F494">
        <v>32.799999999999997</v>
      </c>
      <c r="G494">
        <v>0.14499999999999999</v>
      </c>
      <c r="H494">
        <v>33</v>
      </c>
      <c r="I494">
        <v>0</v>
      </c>
    </row>
    <row r="495" spans="1:9" x14ac:dyDescent="0.3">
      <c r="A495">
        <v>4</v>
      </c>
      <c r="B495">
        <v>125</v>
      </c>
      <c r="C495">
        <v>70</v>
      </c>
      <c r="D495">
        <v>18</v>
      </c>
      <c r="E495">
        <v>122</v>
      </c>
      <c r="F495">
        <v>28.9</v>
      </c>
      <c r="G495">
        <v>1.1439999999999999</v>
      </c>
      <c r="H495">
        <v>45</v>
      </c>
      <c r="I495">
        <v>1</v>
      </c>
    </row>
    <row r="496" spans="1:9" x14ac:dyDescent="0.3">
      <c r="A496">
        <v>3</v>
      </c>
      <c r="B496">
        <v>80</v>
      </c>
      <c r="C496">
        <v>0</v>
      </c>
      <c r="D496">
        <v>0</v>
      </c>
      <c r="E496">
        <v>0</v>
      </c>
      <c r="F496">
        <v>0</v>
      </c>
      <c r="G496">
        <v>0.17399999999999999</v>
      </c>
      <c r="H496">
        <v>22</v>
      </c>
      <c r="I496">
        <v>0</v>
      </c>
    </row>
    <row r="497" spans="1:9" x14ac:dyDescent="0.3">
      <c r="A497">
        <v>6</v>
      </c>
      <c r="B497">
        <v>166</v>
      </c>
      <c r="C497">
        <v>74</v>
      </c>
      <c r="D497">
        <v>0</v>
      </c>
      <c r="E497">
        <v>0</v>
      </c>
      <c r="F497">
        <v>26.6</v>
      </c>
      <c r="G497">
        <v>0.30399999999999999</v>
      </c>
      <c r="H497">
        <v>66</v>
      </c>
      <c r="I497">
        <v>0</v>
      </c>
    </row>
    <row r="498" spans="1:9" x14ac:dyDescent="0.3">
      <c r="A498">
        <v>5</v>
      </c>
      <c r="B498">
        <v>110</v>
      </c>
      <c r="C498">
        <v>68</v>
      </c>
      <c r="D498">
        <v>0</v>
      </c>
      <c r="E498">
        <v>0</v>
      </c>
      <c r="F498">
        <v>26</v>
      </c>
      <c r="G498">
        <v>0.29199999999999998</v>
      </c>
      <c r="H498">
        <v>30</v>
      </c>
      <c r="I498">
        <v>0</v>
      </c>
    </row>
    <row r="499" spans="1:9" x14ac:dyDescent="0.3">
      <c r="A499">
        <v>2</v>
      </c>
      <c r="B499">
        <v>81</v>
      </c>
      <c r="C499">
        <v>72</v>
      </c>
      <c r="D499">
        <v>15</v>
      </c>
      <c r="E499">
        <v>76</v>
      </c>
      <c r="F499">
        <v>30.1</v>
      </c>
      <c r="G499">
        <v>0.54700000000000004</v>
      </c>
      <c r="H499">
        <v>25</v>
      </c>
      <c r="I499">
        <v>0</v>
      </c>
    </row>
    <row r="500" spans="1:9" x14ac:dyDescent="0.3">
      <c r="A500">
        <v>7</v>
      </c>
      <c r="B500">
        <v>195</v>
      </c>
      <c r="C500">
        <v>70</v>
      </c>
      <c r="D500">
        <v>33</v>
      </c>
      <c r="E500">
        <v>145</v>
      </c>
      <c r="F500">
        <v>25.1</v>
      </c>
      <c r="G500">
        <v>0.16300000000000001</v>
      </c>
      <c r="H500">
        <v>55</v>
      </c>
      <c r="I500">
        <v>1</v>
      </c>
    </row>
    <row r="501" spans="1:9" x14ac:dyDescent="0.3">
      <c r="A501">
        <v>6</v>
      </c>
      <c r="B501">
        <v>154</v>
      </c>
      <c r="C501">
        <v>74</v>
      </c>
      <c r="D501">
        <v>32</v>
      </c>
      <c r="E501">
        <v>193</v>
      </c>
      <c r="F501">
        <v>29.3</v>
      </c>
      <c r="G501">
        <v>0.83899999999999997</v>
      </c>
      <c r="H501">
        <v>39</v>
      </c>
      <c r="I501">
        <v>0</v>
      </c>
    </row>
    <row r="502" spans="1:9" x14ac:dyDescent="0.3">
      <c r="A502">
        <v>2</v>
      </c>
      <c r="B502">
        <v>117</v>
      </c>
      <c r="C502">
        <v>90</v>
      </c>
      <c r="D502">
        <v>19</v>
      </c>
      <c r="E502">
        <v>71</v>
      </c>
      <c r="F502">
        <v>25.2</v>
      </c>
      <c r="G502">
        <v>0.313</v>
      </c>
      <c r="H502">
        <v>21</v>
      </c>
      <c r="I502">
        <v>0</v>
      </c>
    </row>
    <row r="503" spans="1:9" x14ac:dyDescent="0.3">
      <c r="A503">
        <v>3</v>
      </c>
      <c r="B503">
        <v>84</v>
      </c>
      <c r="C503">
        <v>72</v>
      </c>
      <c r="D503">
        <v>32</v>
      </c>
      <c r="E503">
        <v>0</v>
      </c>
      <c r="F503">
        <v>37.200000000000003</v>
      </c>
      <c r="G503">
        <v>0.26700000000000002</v>
      </c>
      <c r="H503">
        <v>28</v>
      </c>
      <c r="I503">
        <v>0</v>
      </c>
    </row>
    <row r="504" spans="1:9" x14ac:dyDescent="0.3">
      <c r="A504">
        <v>6</v>
      </c>
      <c r="B504">
        <v>0</v>
      </c>
      <c r="C504">
        <v>68</v>
      </c>
      <c r="D504">
        <v>41</v>
      </c>
      <c r="E504">
        <v>0</v>
      </c>
      <c r="F504">
        <v>39</v>
      </c>
      <c r="G504">
        <v>0.72699999999999998</v>
      </c>
      <c r="H504">
        <v>41</v>
      </c>
      <c r="I504">
        <v>1</v>
      </c>
    </row>
    <row r="505" spans="1:9" x14ac:dyDescent="0.3">
      <c r="A505">
        <v>7</v>
      </c>
      <c r="B505">
        <v>94</v>
      </c>
      <c r="C505">
        <v>64</v>
      </c>
      <c r="D505">
        <v>25</v>
      </c>
      <c r="E505">
        <v>79</v>
      </c>
      <c r="F505">
        <v>33.299999999999997</v>
      </c>
      <c r="G505">
        <v>0.73799999999999999</v>
      </c>
      <c r="H505">
        <v>41</v>
      </c>
      <c r="I505">
        <v>0</v>
      </c>
    </row>
    <row r="506" spans="1:9" x14ac:dyDescent="0.3">
      <c r="A506">
        <v>3</v>
      </c>
      <c r="B506">
        <v>96</v>
      </c>
      <c r="C506">
        <v>78</v>
      </c>
      <c r="D506">
        <v>39</v>
      </c>
      <c r="E506">
        <v>0</v>
      </c>
      <c r="F506">
        <v>37.299999999999997</v>
      </c>
      <c r="G506">
        <v>0.23799999999999999</v>
      </c>
      <c r="H506">
        <v>40</v>
      </c>
      <c r="I506">
        <v>0</v>
      </c>
    </row>
    <row r="507" spans="1:9" x14ac:dyDescent="0.3">
      <c r="A507">
        <v>10</v>
      </c>
      <c r="B507">
        <v>75</v>
      </c>
      <c r="C507">
        <v>82</v>
      </c>
      <c r="D507">
        <v>0</v>
      </c>
      <c r="E507">
        <v>0</v>
      </c>
      <c r="F507">
        <v>33.299999999999997</v>
      </c>
      <c r="G507">
        <v>0.26300000000000001</v>
      </c>
      <c r="H507">
        <v>38</v>
      </c>
      <c r="I507">
        <v>0</v>
      </c>
    </row>
    <row r="508" spans="1:9" x14ac:dyDescent="0.3">
      <c r="A508">
        <v>0</v>
      </c>
      <c r="B508">
        <v>180</v>
      </c>
      <c r="C508">
        <v>90</v>
      </c>
      <c r="D508">
        <v>26</v>
      </c>
      <c r="E508">
        <v>90</v>
      </c>
      <c r="F508">
        <v>36.5</v>
      </c>
      <c r="G508">
        <v>0.314</v>
      </c>
      <c r="H508">
        <v>35</v>
      </c>
      <c r="I508">
        <v>1</v>
      </c>
    </row>
    <row r="509" spans="1:9" x14ac:dyDescent="0.3">
      <c r="A509">
        <v>1</v>
      </c>
      <c r="B509">
        <v>130</v>
      </c>
      <c r="C509">
        <v>60</v>
      </c>
      <c r="D509">
        <v>23</v>
      </c>
      <c r="E509">
        <v>170</v>
      </c>
      <c r="F509">
        <v>28.6</v>
      </c>
      <c r="G509">
        <v>0.69199999999999995</v>
      </c>
      <c r="H509">
        <v>21</v>
      </c>
      <c r="I509">
        <v>0</v>
      </c>
    </row>
    <row r="510" spans="1:9" x14ac:dyDescent="0.3">
      <c r="A510">
        <v>2</v>
      </c>
      <c r="B510">
        <v>84</v>
      </c>
      <c r="C510">
        <v>50</v>
      </c>
      <c r="D510">
        <v>23</v>
      </c>
      <c r="E510">
        <v>76</v>
      </c>
      <c r="F510">
        <v>30.4</v>
      </c>
      <c r="G510">
        <v>0.96799999999999997</v>
      </c>
      <c r="H510">
        <v>21</v>
      </c>
      <c r="I510">
        <v>0</v>
      </c>
    </row>
    <row r="511" spans="1:9" x14ac:dyDescent="0.3">
      <c r="A511">
        <v>8</v>
      </c>
      <c r="B511">
        <v>120</v>
      </c>
      <c r="C511">
        <v>78</v>
      </c>
      <c r="D511">
        <v>0</v>
      </c>
      <c r="E511">
        <v>0</v>
      </c>
      <c r="F511">
        <v>25</v>
      </c>
      <c r="G511">
        <v>0.40899999999999997</v>
      </c>
      <c r="H511">
        <v>64</v>
      </c>
      <c r="I511">
        <v>0</v>
      </c>
    </row>
    <row r="512" spans="1:9" x14ac:dyDescent="0.3">
      <c r="A512">
        <v>12</v>
      </c>
      <c r="B512">
        <v>84</v>
      </c>
      <c r="C512">
        <v>72</v>
      </c>
      <c r="D512">
        <v>31</v>
      </c>
      <c r="E512">
        <v>0</v>
      </c>
      <c r="F512">
        <v>29.7</v>
      </c>
      <c r="G512">
        <v>0.29699999999999999</v>
      </c>
      <c r="H512">
        <v>46</v>
      </c>
      <c r="I512">
        <v>1</v>
      </c>
    </row>
    <row r="513" spans="1:9" x14ac:dyDescent="0.3">
      <c r="A513">
        <v>0</v>
      </c>
      <c r="B513">
        <v>139</v>
      </c>
      <c r="C513">
        <v>62</v>
      </c>
      <c r="D513">
        <v>17</v>
      </c>
      <c r="E513">
        <v>210</v>
      </c>
      <c r="F513">
        <v>22.1</v>
      </c>
      <c r="G513">
        <v>0.20699999999999999</v>
      </c>
      <c r="H513">
        <v>21</v>
      </c>
      <c r="I513">
        <v>0</v>
      </c>
    </row>
    <row r="514" spans="1:9" x14ac:dyDescent="0.3">
      <c r="A514">
        <v>9</v>
      </c>
      <c r="B514">
        <v>91</v>
      </c>
      <c r="C514">
        <v>68</v>
      </c>
      <c r="D514">
        <v>0</v>
      </c>
      <c r="E514">
        <v>0</v>
      </c>
      <c r="F514">
        <v>24.2</v>
      </c>
      <c r="G514">
        <v>0.2</v>
      </c>
      <c r="H514">
        <v>58</v>
      </c>
      <c r="I514">
        <v>0</v>
      </c>
    </row>
    <row r="515" spans="1:9" x14ac:dyDescent="0.3">
      <c r="A515">
        <v>2</v>
      </c>
      <c r="B515">
        <v>91</v>
      </c>
      <c r="C515">
        <v>62</v>
      </c>
      <c r="D515">
        <v>0</v>
      </c>
      <c r="E515">
        <v>0</v>
      </c>
      <c r="F515">
        <v>27.3</v>
      </c>
      <c r="G515">
        <v>0.52500000000000002</v>
      </c>
      <c r="H515">
        <v>22</v>
      </c>
      <c r="I515">
        <v>0</v>
      </c>
    </row>
    <row r="516" spans="1:9" x14ac:dyDescent="0.3">
      <c r="A516">
        <v>3</v>
      </c>
      <c r="B516">
        <v>99</v>
      </c>
      <c r="C516">
        <v>54</v>
      </c>
      <c r="D516">
        <v>19</v>
      </c>
      <c r="E516">
        <v>86</v>
      </c>
      <c r="F516">
        <v>25.6</v>
      </c>
      <c r="G516">
        <v>0.154</v>
      </c>
      <c r="H516">
        <v>24</v>
      </c>
      <c r="I516">
        <v>0</v>
      </c>
    </row>
    <row r="517" spans="1:9" x14ac:dyDescent="0.3">
      <c r="A517">
        <v>3</v>
      </c>
      <c r="B517">
        <v>163</v>
      </c>
      <c r="C517">
        <v>70</v>
      </c>
      <c r="D517">
        <v>18</v>
      </c>
      <c r="E517">
        <v>105</v>
      </c>
      <c r="F517">
        <v>31.6</v>
      </c>
      <c r="G517">
        <v>0.26800000000000002</v>
      </c>
      <c r="H517">
        <v>28</v>
      </c>
      <c r="I517">
        <v>1</v>
      </c>
    </row>
    <row r="518" spans="1:9" x14ac:dyDescent="0.3">
      <c r="A518">
        <v>9</v>
      </c>
      <c r="B518">
        <v>145</v>
      </c>
      <c r="C518">
        <v>88</v>
      </c>
      <c r="D518">
        <v>34</v>
      </c>
      <c r="E518">
        <v>165</v>
      </c>
      <c r="F518">
        <v>30.3</v>
      </c>
      <c r="G518">
        <v>0.77100000000000002</v>
      </c>
      <c r="H518">
        <v>53</v>
      </c>
      <c r="I518">
        <v>1</v>
      </c>
    </row>
    <row r="519" spans="1:9" x14ac:dyDescent="0.3">
      <c r="A519">
        <v>7</v>
      </c>
      <c r="B519">
        <v>125</v>
      </c>
      <c r="C519">
        <v>86</v>
      </c>
      <c r="D519">
        <v>0</v>
      </c>
      <c r="E519">
        <v>0</v>
      </c>
      <c r="F519">
        <v>37.6</v>
      </c>
      <c r="G519">
        <v>0.30399999999999999</v>
      </c>
      <c r="H519">
        <v>51</v>
      </c>
      <c r="I519">
        <v>0</v>
      </c>
    </row>
    <row r="520" spans="1:9" x14ac:dyDescent="0.3">
      <c r="A520">
        <v>13</v>
      </c>
      <c r="B520">
        <v>76</v>
      </c>
      <c r="C520">
        <v>60</v>
      </c>
      <c r="D520">
        <v>0</v>
      </c>
      <c r="E520">
        <v>0</v>
      </c>
      <c r="F520">
        <v>32.799999999999997</v>
      </c>
      <c r="G520">
        <v>0.18</v>
      </c>
      <c r="H520">
        <v>41</v>
      </c>
      <c r="I520">
        <v>0</v>
      </c>
    </row>
    <row r="521" spans="1:9" x14ac:dyDescent="0.3">
      <c r="A521">
        <v>6</v>
      </c>
      <c r="B521">
        <v>129</v>
      </c>
      <c r="C521">
        <v>90</v>
      </c>
      <c r="D521">
        <v>7</v>
      </c>
      <c r="E521">
        <v>326</v>
      </c>
      <c r="F521">
        <v>19.600000000000001</v>
      </c>
      <c r="G521">
        <v>0.58199999999999996</v>
      </c>
      <c r="H521">
        <v>60</v>
      </c>
      <c r="I521">
        <v>0</v>
      </c>
    </row>
    <row r="522" spans="1:9" x14ac:dyDescent="0.3">
      <c r="A522">
        <v>2</v>
      </c>
      <c r="B522">
        <v>68</v>
      </c>
      <c r="C522">
        <v>70</v>
      </c>
      <c r="D522">
        <v>32</v>
      </c>
      <c r="E522">
        <v>66</v>
      </c>
      <c r="F522">
        <v>25</v>
      </c>
      <c r="G522">
        <v>0.187</v>
      </c>
      <c r="H522">
        <v>25</v>
      </c>
      <c r="I522">
        <v>0</v>
      </c>
    </row>
    <row r="523" spans="1:9" x14ac:dyDescent="0.3">
      <c r="A523">
        <v>3</v>
      </c>
      <c r="B523">
        <v>124</v>
      </c>
      <c r="C523">
        <v>80</v>
      </c>
      <c r="D523">
        <v>33</v>
      </c>
      <c r="E523">
        <v>130</v>
      </c>
      <c r="F523">
        <v>33.200000000000003</v>
      </c>
      <c r="G523">
        <v>0.30499999999999999</v>
      </c>
      <c r="H523">
        <v>26</v>
      </c>
      <c r="I523">
        <v>0</v>
      </c>
    </row>
    <row r="524" spans="1:9" x14ac:dyDescent="0.3">
      <c r="A524">
        <v>6</v>
      </c>
      <c r="B524">
        <v>114</v>
      </c>
      <c r="C524">
        <v>0</v>
      </c>
      <c r="D524">
        <v>0</v>
      </c>
      <c r="E524">
        <v>0</v>
      </c>
      <c r="F524">
        <v>0</v>
      </c>
      <c r="G524">
        <v>0.189</v>
      </c>
      <c r="H524">
        <v>26</v>
      </c>
      <c r="I524">
        <v>0</v>
      </c>
    </row>
    <row r="525" spans="1:9" x14ac:dyDescent="0.3">
      <c r="A525">
        <v>9</v>
      </c>
      <c r="B525">
        <v>130</v>
      </c>
      <c r="C525">
        <v>70</v>
      </c>
      <c r="D525">
        <v>0</v>
      </c>
      <c r="E525">
        <v>0</v>
      </c>
      <c r="F525">
        <v>34.200000000000003</v>
      </c>
      <c r="G525">
        <v>0.65200000000000002</v>
      </c>
      <c r="H525">
        <v>45</v>
      </c>
      <c r="I525">
        <v>1</v>
      </c>
    </row>
    <row r="526" spans="1:9" x14ac:dyDescent="0.3">
      <c r="A526">
        <v>3</v>
      </c>
      <c r="B526">
        <v>125</v>
      </c>
      <c r="C526">
        <v>58</v>
      </c>
      <c r="D526">
        <v>0</v>
      </c>
      <c r="E526">
        <v>0</v>
      </c>
      <c r="F526">
        <v>31.6</v>
      </c>
      <c r="G526">
        <v>0.151</v>
      </c>
      <c r="H526">
        <v>24</v>
      </c>
      <c r="I526">
        <v>0</v>
      </c>
    </row>
    <row r="527" spans="1:9" x14ac:dyDescent="0.3">
      <c r="A527">
        <v>3</v>
      </c>
      <c r="B527">
        <v>87</v>
      </c>
      <c r="C527">
        <v>60</v>
      </c>
      <c r="D527">
        <v>18</v>
      </c>
      <c r="E527">
        <v>0</v>
      </c>
      <c r="F527">
        <v>21.8</v>
      </c>
      <c r="G527">
        <v>0.44400000000000001</v>
      </c>
      <c r="H527">
        <v>21</v>
      </c>
      <c r="I527">
        <v>0</v>
      </c>
    </row>
    <row r="528" spans="1:9" x14ac:dyDescent="0.3">
      <c r="A528">
        <v>1</v>
      </c>
      <c r="B528">
        <v>97</v>
      </c>
      <c r="C528">
        <v>64</v>
      </c>
      <c r="D528">
        <v>19</v>
      </c>
      <c r="E528">
        <v>82</v>
      </c>
      <c r="F528">
        <v>18.2</v>
      </c>
      <c r="G528">
        <v>0.29899999999999999</v>
      </c>
      <c r="H528">
        <v>21</v>
      </c>
      <c r="I528">
        <v>0</v>
      </c>
    </row>
    <row r="529" spans="1:9" x14ac:dyDescent="0.3">
      <c r="A529">
        <v>3</v>
      </c>
      <c r="B529">
        <v>116</v>
      </c>
      <c r="C529">
        <v>74</v>
      </c>
      <c r="D529">
        <v>15</v>
      </c>
      <c r="E529">
        <v>105</v>
      </c>
      <c r="F529">
        <v>26.3</v>
      </c>
      <c r="G529">
        <v>0.107</v>
      </c>
      <c r="H529">
        <v>24</v>
      </c>
      <c r="I529">
        <v>0</v>
      </c>
    </row>
    <row r="530" spans="1:9" x14ac:dyDescent="0.3">
      <c r="A530">
        <v>0</v>
      </c>
      <c r="B530">
        <v>117</v>
      </c>
      <c r="C530">
        <v>66</v>
      </c>
      <c r="D530">
        <v>31</v>
      </c>
      <c r="E530">
        <v>188</v>
      </c>
      <c r="F530">
        <v>30.8</v>
      </c>
      <c r="G530">
        <v>0.49299999999999999</v>
      </c>
      <c r="H530">
        <v>22</v>
      </c>
      <c r="I530">
        <v>0</v>
      </c>
    </row>
    <row r="531" spans="1:9" x14ac:dyDescent="0.3">
      <c r="A531">
        <v>0</v>
      </c>
      <c r="B531">
        <v>111</v>
      </c>
      <c r="C531">
        <v>65</v>
      </c>
      <c r="D531">
        <v>0</v>
      </c>
      <c r="E531">
        <v>0</v>
      </c>
      <c r="F531">
        <v>24.6</v>
      </c>
      <c r="G531">
        <v>0.66</v>
      </c>
      <c r="H531">
        <v>31</v>
      </c>
      <c r="I531">
        <v>0</v>
      </c>
    </row>
    <row r="532" spans="1:9" x14ac:dyDescent="0.3">
      <c r="A532">
        <v>2</v>
      </c>
      <c r="B532">
        <v>122</v>
      </c>
      <c r="C532">
        <v>60</v>
      </c>
      <c r="D532">
        <v>18</v>
      </c>
      <c r="E532">
        <v>106</v>
      </c>
      <c r="F532">
        <v>29.8</v>
      </c>
      <c r="G532">
        <v>0.71699999999999997</v>
      </c>
      <c r="H532">
        <v>22</v>
      </c>
      <c r="I532">
        <v>0</v>
      </c>
    </row>
    <row r="533" spans="1:9" x14ac:dyDescent="0.3">
      <c r="A533">
        <v>0</v>
      </c>
      <c r="B533">
        <v>107</v>
      </c>
      <c r="C533">
        <v>76</v>
      </c>
      <c r="D533">
        <v>0</v>
      </c>
      <c r="E533">
        <v>0</v>
      </c>
      <c r="F533">
        <v>45.3</v>
      </c>
      <c r="G533">
        <v>0.68600000000000005</v>
      </c>
      <c r="H533">
        <v>24</v>
      </c>
      <c r="I533">
        <v>0</v>
      </c>
    </row>
    <row r="534" spans="1:9" x14ac:dyDescent="0.3">
      <c r="A534">
        <v>1</v>
      </c>
      <c r="B534">
        <v>86</v>
      </c>
      <c r="C534">
        <v>66</v>
      </c>
      <c r="D534">
        <v>52</v>
      </c>
      <c r="E534">
        <v>65</v>
      </c>
      <c r="F534">
        <v>41.3</v>
      </c>
      <c r="G534">
        <v>0.91700000000000004</v>
      </c>
      <c r="H534">
        <v>29</v>
      </c>
      <c r="I534">
        <v>0</v>
      </c>
    </row>
    <row r="535" spans="1:9" x14ac:dyDescent="0.3">
      <c r="A535">
        <v>6</v>
      </c>
      <c r="B535">
        <v>91</v>
      </c>
      <c r="C535">
        <v>0</v>
      </c>
      <c r="D535">
        <v>0</v>
      </c>
      <c r="E535">
        <v>0</v>
      </c>
      <c r="F535">
        <v>29.8</v>
      </c>
      <c r="G535">
        <v>0.501</v>
      </c>
      <c r="H535">
        <v>31</v>
      </c>
      <c r="I535">
        <v>0</v>
      </c>
    </row>
    <row r="536" spans="1:9" x14ac:dyDescent="0.3">
      <c r="A536">
        <v>1</v>
      </c>
      <c r="B536">
        <v>77</v>
      </c>
      <c r="C536">
        <v>56</v>
      </c>
      <c r="D536">
        <v>30</v>
      </c>
      <c r="E536">
        <v>56</v>
      </c>
      <c r="F536">
        <v>33.299999999999997</v>
      </c>
      <c r="G536">
        <v>1.2509999999999999</v>
      </c>
      <c r="H536">
        <v>24</v>
      </c>
      <c r="I536">
        <v>0</v>
      </c>
    </row>
    <row r="537" spans="1:9" x14ac:dyDescent="0.3">
      <c r="A537">
        <v>4</v>
      </c>
      <c r="B537">
        <v>132</v>
      </c>
      <c r="C537">
        <v>0</v>
      </c>
      <c r="D537">
        <v>0</v>
      </c>
      <c r="E537">
        <v>0</v>
      </c>
      <c r="F537">
        <v>32.9</v>
      </c>
      <c r="G537">
        <v>0.30199999999999999</v>
      </c>
      <c r="H537">
        <v>23</v>
      </c>
      <c r="I537">
        <v>1</v>
      </c>
    </row>
    <row r="538" spans="1:9" x14ac:dyDescent="0.3">
      <c r="A538">
        <v>0</v>
      </c>
      <c r="B538">
        <v>105</v>
      </c>
      <c r="C538">
        <v>90</v>
      </c>
      <c r="D538">
        <v>0</v>
      </c>
      <c r="E538">
        <v>0</v>
      </c>
      <c r="F538">
        <v>29.6</v>
      </c>
      <c r="G538">
        <v>0.19700000000000001</v>
      </c>
      <c r="H538">
        <v>46</v>
      </c>
      <c r="I538">
        <v>0</v>
      </c>
    </row>
    <row r="539" spans="1:9" x14ac:dyDescent="0.3">
      <c r="A539">
        <v>0</v>
      </c>
      <c r="B539">
        <v>57</v>
      </c>
      <c r="C539">
        <v>60</v>
      </c>
      <c r="D539">
        <v>0</v>
      </c>
      <c r="E539">
        <v>0</v>
      </c>
      <c r="F539">
        <v>21.7</v>
      </c>
      <c r="G539">
        <v>0.73499999999999999</v>
      </c>
      <c r="H539">
        <v>67</v>
      </c>
      <c r="I539">
        <v>0</v>
      </c>
    </row>
    <row r="540" spans="1:9" x14ac:dyDescent="0.3">
      <c r="A540">
        <v>0</v>
      </c>
      <c r="B540">
        <v>127</v>
      </c>
      <c r="C540">
        <v>80</v>
      </c>
      <c r="D540">
        <v>37</v>
      </c>
      <c r="E540">
        <v>210</v>
      </c>
      <c r="F540">
        <v>36.299999999999997</v>
      </c>
      <c r="G540">
        <v>0.80400000000000005</v>
      </c>
      <c r="H540">
        <v>23</v>
      </c>
      <c r="I540">
        <v>0</v>
      </c>
    </row>
    <row r="541" spans="1:9" x14ac:dyDescent="0.3">
      <c r="A541">
        <v>3</v>
      </c>
      <c r="B541">
        <v>129</v>
      </c>
      <c r="C541">
        <v>92</v>
      </c>
      <c r="D541">
        <v>49</v>
      </c>
      <c r="E541">
        <v>155</v>
      </c>
      <c r="F541">
        <v>36.4</v>
      </c>
      <c r="G541">
        <v>0.96799999999999997</v>
      </c>
      <c r="H541">
        <v>32</v>
      </c>
      <c r="I541">
        <v>1</v>
      </c>
    </row>
    <row r="542" spans="1:9" x14ac:dyDescent="0.3">
      <c r="A542">
        <v>8</v>
      </c>
      <c r="B542">
        <v>100</v>
      </c>
      <c r="C542">
        <v>74</v>
      </c>
      <c r="D542">
        <v>40</v>
      </c>
      <c r="E542">
        <v>215</v>
      </c>
      <c r="F542">
        <v>39.4</v>
      </c>
      <c r="G542">
        <v>0.66100000000000003</v>
      </c>
      <c r="H542">
        <v>43</v>
      </c>
      <c r="I542">
        <v>1</v>
      </c>
    </row>
    <row r="543" spans="1:9" x14ac:dyDescent="0.3">
      <c r="A543">
        <v>3</v>
      </c>
      <c r="B543">
        <v>128</v>
      </c>
      <c r="C543">
        <v>72</v>
      </c>
      <c r="D543">
        <v>25</v>
      </c>
      <c r="E543">
        <v>190</v>
      </c>
      <c r="F543">
        <v>32.4</v>
      </c>
      <c r="G543">
        <v>0.54900000000000004</v>
      </c>
      <c r="H543">
        <v>27</v>
      </c>
      <c r="I543">
        <v>1</v>
      </c>
    </row>
    <row r="544" spans="1:9" x14ac:dyDescent="0.3">
      <c r="A544">
        <v>10</v>
      </c>
      <c r="B544">
        <v>90</v>
      </c>
      <c r="C544">
        <v>85</v>
      </c>
      <c r="D544">
        <v>32</v>
      </c>
      <c r="E544">
        <v>0</v>
      </c>
      <c r="F544">
        <v>34.9</v>
      </c>
      <c r="G544">
        <v>0.82499999999999996</v>
      </c>
      <c r="H544">
        <v>56</v>
      </c>
      <c r="I544">
        <v>1</v>
      </c>
    </row>
    <row r="545" spans="1:9" x14ac:dyDescent="0.3">
      <c r="A545">
        <v>4</v>
      </c>
      <c r="B545">
        <v>84</v>
      </c>
      <c r="C545">
        <v>90</v>
      </c>
      <c r="D545">
        <v>23</v>
      </c>
      <c r="E545">
        <v>56</v>
      </c>
      <c r="F545">
        <v>39.5</v>
      </c>
      <c r="G545">
        <v>0.159</v>
      </c>
      <c r="H545">
        <v>25</v>
      </c>
      <c r="I545">
        <v>0</v>
      </c>
    </row>
    <row r="546" spans="1:9" x14ac:dyDescent="0.3">
      <c r="A546">
        <v>1</v>
      </c>
      <c r="B546">
        <v>88</v>
      </c>
      <c r="C546">
        <v>78</v>
      </c>
      <c r="D546">
        <v>29</v>
      </c>
      <c r="E546">
        <v>76</v>
      </c>
      <c r="F546">
        <v>32</v>
      </c>
      <c r="G546">
        <v>0.36499999999999999</v>
      </c>
      <c r="H546">
        <v>29</v>
      </c>
      <c r="I546">
        <v>0</v>
      </c>
    </row>
    <row r="547" spans="1:9" x14ac:dyDescent="0.3">
      <c r="A547">
        <v>8</v>
      </c>
      <c r="B547">
        <v>186</v>
      </c>
      <c r="C547">
        <v>90</v>
      </c>
      <c r="D547">
        <v>35</v>
      </c>
      <c r="E547">
        <v>225</v>
      </c>
      <c r="F547">
        <v>34.5</v>
      </c>
      <c r="G547">
        <v>0.42299999999999999</v>
      </c>
      <c r="H547">
        <v>37</v>
      </c>
      <c r="I547">
        <v>1</v>
      </c>
    </row>
    <row r="548" spans="1:9" x14ac:dyDescent="0.3">
      <c r="A548">
        <v>5</v>
      </c>
      <c r="B548">
        <v>187</v>
      </c>
      <c r="C548">
        <v>76</v>
      </c>
      <c r="D548">
        <v>27</v>
      </c>
      <c r="E548">
        <v>207</v>
      </c>
      <c r="F548">
        <v>43.6</v>
      </c>
      <c r="G548">
        <v>1.034</v>
      </c>
      <c r="H548">
        <v>53</v>
      </c>
      <c r="I548">
        <v>1</v>
      </c>
    </row>
    <row r="549" spans="1:9" x14ac:dyDescent="0.3">
      <c r="A549">
        <v>4</v>
      </c>
      <c r="B549">
        <v>131</v>
      </c>
      <c r="C549">
        <v>68</v>
      </c>
      <c r="D549">
        <v>21</v>
      </c>
      <c r="E549">
        <v>166</v>
      </c>
      <c r="F549">
        <v>33.1</v>
      </c>
      <c r="G549">
        <v>0.16</v>
      </c>
      <c r="H549">
        <v>28</v>
      </c>
      <c r="I549">
        <v>0</v>
      </c>
    </row>
    <row r="550" spans="1:9" x14ac:dyDescent="0.3">
      <c r="A550">
        <v>1</v>
      </c>
      <c r="B550">
        <v>164</v>
      </c>
      <c r="C550">
        <v>82</v>
      </c>
      <c r="D550">
        <v>43</v>
      </c>
      <c r="E550">
        <v>67</v>
      </c>
      <c r="F550">
        <v>32.799999999999997</v>
      </c>
      <c r="G550">
        <v>0.34100000000000003</v>
      </c>
      <c r="H550">
        <v>50</v>
      </c>
      <c r="I550">
        <v>0</v>
      </c>
    </row>
    <row r="551" spans="1:9" x14ac:dyDescent="0.3">
      <c r="A551">
        <v>4</v>
      </c>
      <c r="B551">
        <v>189</v>
      </c>
      <c r="C551">
        <v>110</v>
      </c>
      <c r="D551">
        <v>31</v>
      </c>
      <c r="E551">
        <v>0</v>
      </c>
      <c r="F551">
        <v>28.5</v>
      </c>
      <c r="G551">
        <v>0.68</v>
      </c>
      <c r="H551">
        <v>37</v>
      </c>
      <c r="I551">
        <v>0</v>
      </c>
    </row>
    <row r="552" spans="1:9" x14ac:dyDescent="0.3">
      <c r="A552">
        <v>1</v>
      </c>
      <c r="B552">
        <v>116</v>
      </c>
      <c r="C552">
        <v>70</v>
      </c>
      <c r="D552">
        <v>28</v>
      </c>
      <c r="E552">
        <v>0</v>
      </c>
      <c r="F552">
        <v>27.4</v>
      </c>
      <c r="G552">
        <v>0.20399999999999999</v>
      </c>
      <c r="H552">
        <v>21</v>
      </c>
      <c r="I552">
        <v>0</v>
      </c>
    </row>
    <row r="553" spans="1:9" x14ac:dyDescent="0.3">
      <c r="A553">
        <v>3</v>
      </c>
      <c r="B553">
        <v>84</v>
      </c>
      <c r="C553">
        <v>68</v>
      </c>
      <c r="D553">
        <v>30</v>
      </c>
      <c r="E553">
        <v>106</v>
      </c>
      <c r="F553">
        <v>31.9</v>
      </c>
      <c r="G553">
        <v>0.59099999999999997</v>
      </c>
      <c r="H553">
        <v>25</v>
      </c>
      <c r="I553">
        <v>0</v>
      </c>
    </row>
    <row r="554" spans="1:9" x14ac:dyDescent="0.3">
      <c r="A554">
        <v>6</v>
      </c>
      <c r="B554">
        <v>114</v>
      </c>
      <c r="C554">
        <v>88</v>
      </c>
      <c r="D554">
        <v>0</v>
      </c>
      <c r="E554">
        <v>0</v>
      </c>
      <c r="F554">
        <v>27.8</v>
      </c>
      <c r="G554">
        <v>0.247</v>
      </c>
      <c r="H554">
        <v>66</v>
      </c>
      <c r="I554">
        <v>0</v>
      </c>
    </row>
    <row r="555" spans="1:9" x14ac:dyDescent="0.3">
      <c r="A555">
        <v>1</v>
      </c>
      <c r="B555">
        <v>88</v>
      </c>
      <c r="C555">
        <v>62</v>
      </c>
      <c r="D555">
        <v>24</v>
      </c>
      <c r="E555">
        <v>44</v>
      </c>
      <c r="F555">
        <v>29.9</v>
      </c>
      <c r="G555">
        <v>0.42199999999999999</v>
      </c>
      <c r="H555">
        <v>23</v>
      </c>
      <c r="I555">
        <v>0</v>
      </c>
    </row>
    <row r="556" spans="1:9" x14ac:dyDescent="0.3">
      <c r="A556">
        <v>1</v>
      </c>
      <c r="B556">
        <v>84</v>
      </c>
      <c r="C556">
        <v>64</v>
      </c>
      <c r="D556">
        <v>23</v>
      </c>
      <c r="E556">
        <v>115</v>
      </c>
      <c r="F556">
        <v>36.9</v>
      </c>
      <c r="G556">
        <v>0.47099999999999997</v>
      </c>
      <c r="H556">
        <v>28</v>
      </c>
      <c r="I556">
        <v>0</v>
      </c>
    </row>
    <row r="557" spans="1:9" x14ac:dyDescent="0.3">
      <c r="A557">
        <v>7</v>
      </c>
      <c r="B557">
        <v>124</v>
      </c>
      <c r="C557">
        <v>70</v>
      </c>
      <c r="D557">
        <v>33</v>
      </c>
      <c r="E557">
        <v>215</v>
      </c>
      <c r="F557">
        <v>25.5</v>
      </c>
      <c r="G557">
        <v>0.161</v>
      </c>
      <c r="H557">
        <v>37</v>
      </c>
      <c r="I557">
        <v>0</v>
      </c>
    </row>
    <row r="558" spans="1:9" x14ac:dyDescent="0.3">
      <c r="A558">
        <v>1</v>
      </c>
      <c r="B558">
        <v>97</v>
      </c>
      <c r="C558">
        <v>70</v>
      </c>
      <c r="D558">
        <v>40</v>
      </c>
      <c r="E558">
        <v>0</v>
      </c>
      <c r="F558">
        <v>38.1</v>
      </c>
      <c r="G558">
        <v>0.218</v>
      </c>
      <c r="H558">
        <v>30</v>
      </c>
      <c r="I558">
        <v>0</v>
      </c>
    </row>
    <row r="559" spans="1:9" x14ac:dyDescent="0.3">
      <c r="A559">
        <v>8</v>
      </c>
      <c r="B559">
        <v>110</v>
      </c>
      <c r="C559">
        <v>76</v>
      </c>
      <c r="D559">
        <v>0</v>
      </c>
      <c r="E559">
        <v>0</v>
      </c>
      <c r="F559">
        <v>27.8</v>
      </c>
      <c r="G559">
        <v>0.23699999999999999</v>
      </c>
      <c r="H559">
        <v>58</v>
      </c>
      <c r="I559">
        <v>0</v>
      </c>
    </row>
    <row r="560" spans="1:9" x14ac:dyDescent="0.3">
      <c r="A560">
        <v>11</v>
      </c>
      <c r="B560">
        <v>103</v>
      </c>
      <c r="C560">
        <v>68</v>
      </c>
      <c r="D560">
        <v>40</v>
      </c>
      <c r="E560">
        <v>0</v>
      </c>
      <c r="F560">
        <v>46.2</v>
      </c>
      <c r="G560">
        <v>0.126</v>
      </c>
      <c r="H560">
        <v>42</v>
      </c>
      <c r="I560">
        <v>0</v>
      </c>
    </row>
    <row r="561" spans="1:9" x14ac:dyDescent="0.3">
      <c r="A561">
        <v>11</v>
      </c>
      <c r="B561">
        <v>85</v>
      </c>
      <c r="C561">
        <v>74</v>
      </c>
      <c r="D561">
        <v>0</v>
      </c>
      <c r="E561">
        <v>0</v>
      </c>
      <c r="F561">
        <v>30.1</v>
      </c>
      <c r="G561">
        <v>0.3</v>
      </c>
      <c r="H561">
        <v>35</v>
      </c>
      <c r="I561">
        <v>0</v>
      </c>
    </row>
    <row r="562" spans="1:9" x14ac:dyDescent="0.3">
      <c r="A562">
        <v>6</v>
      </c>
      <c r="B562">
        <v>125</v>
      </c>
      <c r="C562">
        <v>76</v>
      </c>
      <c r="D562">
        <v>0</v>
      </c>
      <c r="E562">
        <v>0</v>
      </c>
      <c r="F562">
        <v>33.799999999999997</v>
      </c>
      <c r="G562">
        <v>0.121</v>
      </c>
      <c r="H562">
        <v>54</v>
      </c>
      <c r="I562">
        <v>1</v>
      </c>
    </row>
    <row r="563" spans="1:9" x14ac:dyDescent="0.3">
      <c r="A563">
        <v>0</v>
      </c>
      <c r="B563">
        <v>198</v>
      </c>
      <c r="C563">
        <v>66</v>
      </c>
      <c r="D563">
        <v>32</v>
      </c>
      <c r="E563">
        <v>274</v>
      </c>
      <c r="F563">
        <v>41.3</v>
      </c>
      <c r="G563">
        <v>0.502</v>
      </c>
      <c r="H563">
        <v>28</v>
      </c>
      <c r="I563">
        <v>1</v>
      </c>
    </row>
    <row r="564" spans="1:9" x14ac:dyDescent="0.3">
      <c r="A564">
        <v>1</v>
      </c>
      <c r="B564">
        <v>87</v>
      </c>
      <c r="C564">
        <v>68</v>
      </c>
      <c r="D564">
        <v>34</v>
      </c>
      <c r="E564">
        <v>77</v>
      </c>
      <c r="F564">
        <v>37.6</v>
      </c>
      <c r="G564">
        <v>0.40100000000000002</v>
      </c>
      <c r="H564">
        <v>24</v>
      </c>
      <c r="I564">
        <v>0</v>
      </c>
    </row>
    <row r="565" spans="1:9" x14ac:dyDescent="0.3">
      <c r="A565">
        <v>6</v>
      </c>
      <c r="B565">
        <v>99</v>
      </c>
      <c r="C565">
        <v>60</v>
      </c>
      <c r="D565">
        <v>19</v>
      </c>
      <c r="E565">
        <v>54</v>
      </c>
      <c r="F565">
        <v>26.9</v>
      </c>
      <c r="G565">
        <v>0.497</v>
      </c>
      <c r="H565">
        <v>32</v>
      </c>
      <c r="I565">
        <v>0</v>
      </c>
    </row>
    <row r="566" spans="1:9" x14ac:dyDescent="0.3">
      <c r="A566">
        <v>0</v>
      </c>
      <c r="B566">
        <v>91</v>
      </c>
      <c r="C566">
        <v>80</v>
      </c>
      <c r="D566">
        <v>0</v>
      </c>
      <c r="E566">
        <v>0</v>
      </c>
      <c r="F566">
        <v>32.4</v>
      </c>
      <c r="G566">
        <v>0.60099999999999998</v>
      </c>
      <c r="H566">
        <v>27</v>
      </c>
      <c r="I566">
        <v>0</v>
      </c>
    </row>
    <row r="567" spans="1:9" x14ac:dyDescent="0.3">
      <c r="A567">
        <v>2</v>
      </c>
      <c r="B567">
        <v>95</v>
      </c>
      <c r="C567">
        <v>54</v>
      </c>
      <c r="D567">
        <v>14</v>
      </c>
      <c r="E567">
        <v>88</v>
      </c>
      <c r="F567">
        <v>26.1</v>
      </c>
      <c r="G567">
        <v>0.748</v>
      </c>
      <c r="H567">
        <v>22</v>
      </c>
      <c r="I567">
        <v>0</v>
      </c>
    </row>
    <row r="568" spans="1:9" x14ac:dyDescent="0.3">
      <c r="A568">
        <v>1</v>
      </c>
      <c r="B568">
        <v>99</v>
      </c>
      <c r="C568">
        <v>72</v>
      </c>
      <c r="D568">
        <v>30</v>
      </c>
      <c r="E568">
        <v>18</v>
      </c>
      <c r="F568">
        <v>38.6</v>
      </c>
      <c r="G568">
        <v>0.41199999999999998</v>
      </c>
      <c r="H568">
        <v>21</v>
      </c>
      <c r="I568">
        <v>0</v>
      </c>
    </row>
    <row r="569" spans="1:9" x14ac:dyDescent="0.3">
      <c r="A569">
        <v>6</v>
      </c>
      <c r="B569">
        <v>92</v>
      </c>
      <c r="C569">
        <v>62</v>
      </c>
      <c r="D569">
        <v>32</v>
      </c>
      <c r="E569">
        <v>126</v>
      </c>
      <c r="F569">
        <v>32</v>
      </c>
      <c r="G569">
        <v>8.5000000000000006E-2</v>
      </c>
      <c r="H569">
        <v>46</v>
      </c>
      <c r="I569">
        <v>0</v>
      </c>
    </row>
    <row r="570" spans="1:9" x14ac:dyDescent="0.3">
      <c r="A570">
        <v>4</v>
      </c>
      <c r="B570">
        <v>154</v>
      </c>
      <c r="C570">
        <v>72</v>
      </c>
      <c r="D570">
        <v>29</v>
      </c>
      <c r="E570">
        <v>126</v>
      </c>
      <c r="F570">
        <v>31.3</v>
      </c>
      <c r="G570">
        <v>0.33800000000000002</v>
      </c>
      <c r="H570">
        <v>37</v>
      </c>
      <c r="I570">
        <v>0</v>
      </c>
    </row>
    <row r="571" spans="1:9" x14ac:dyDescent="0.3">
      <c r="A571">
        <v>0</v>
      </c>
      <c r="B571">
        <v>121</v>
      </c>
      <c r="C571">
        <v>66</v>
      </c>
      <c r="D571">
        <v>30</v>
      </c>
      <c r="E571">
        <v>165</v>
      </c>
      <c r="F571">
        <v>34.299999999999997</v>
      </c>
      <c r="G571">
        <v>0.20300000000000001</v>
      </c>
      <c r="H571">
        <v>33</v>
      </c>
      <c r="I571">
        <v>1</v>
      </c>
    </row>
    <row r="572" spans="1:9" x14ac:dyDescent="0.3">
      <c r="A572">
        <v>3</v>
      </c>
      <c r="B572">
        <v>78</v>
      </c>
      <c r="C572">
        <v>70</v>
      </c>
      <c r="D572">
        <v>0</v>
      </c>
      <c r="E572">
        <v>0</v>
      </c>
      <c r="F572">
        <v>32.5</v>
      </c>
      <c r="G572">
        <v>0.27</v>
      </c>
      <c r="H572">
        <v>39</v>
      </c>
      <c r="I572">
        <v>0</v>
      </c>
    </row>
    <row r="573" spans="1:9" x14ac:dyDescent="0.3">
      <c r="A573">
        <v>2</v>
      </c>
      <c r="B573">
        <v>130</v>
      </c>
      <c r="C573">
        <v>96</v>
      </c>
      <c r="D573">
        <v>0</v>
      </c>
      <c r="E573">
        <v>0</v>
      </c>
      <c r="F573">
        <v>22.6</v>
      </c>
      <c r="G573">
        <v>0.26800000000000002</v>
      </c>
      <c r="H573">
        <v>21</v>
      </c>
      <c r="I573">
        <v>0</v>
      </c>
    </row>
    <row r="574" spans="1:9" x14ac:dyDescent="0.3">
      <c r="A574">
        <v>3</v>
      </c>
      <c r="B574">
        <v>111</v>
      </c>
      <c r="C574">
        <v>58</v>
      </c>
      <c r="D574">
        <v>31</v>
      </c>
      <c r="E574">
        <v>44</v>
      </c>
      <c r="F574">
        <v>29.5</v>
      </c>
      <c r="G574">
        <v>0.43</v>
      </c>
      <c r="H574">
        <v>22</v>
      </c>
      <c r="I574">
        <v>0</v>
      </c>
    </row>
    <row r="575" spans="1:9" x14ac:dyDescent="0.3">
      <c r="A575">
        <v>2</v>
      </c>
      <c r="B575">
        <v>98</v>
      </c>
      <c r="C575">
        <v>60</v>
      </c>
      <c r="D575">
        <v>17</v>
      </c>
      <c r="E575">
        <v>120</v>
      </c>
      <c r="F575">
        <v>34.700000000000003</v>
      </c>
      <c r="G575">
        <v>0.19800000000000001</v>
      </c>
      <c r="H575">
        <v>22</v>
      </c>
      <c r="I575">
        <v>0</v>
      </c>
    </row>
    <row r="576" spans="1:9" x14ac:dyDescent="0.3">
      <c r="A576">
        <v>1</v>
      </c>
      <c r="B576">
        <v>143</v>
      </c>
      <c r="C576">
        <v>86</v>
      </c>
      <c r="D576">
        <v>30</v>
      </c>
      <c r="E576">
        <v>330</v>
      </c>
      <c r="F576">
        <v>30.1</v>
      </c>
      <c r="G576">
        <v>0.89200000000000002</v>
      </c>
      <c r="H576">
        <v>23</v>
      </c>
      <c r="I576">
        <v>0</v>
      </c>
    </row>
    <row r="577" spans="1:9" x14ac:dyDescent="0.3">
      <c r="A577">
        <v>1</v>
      </c>
      <c r="B577">
        <v>119</v>
      </c>
      <c r="C577">
        <v>44</v>
      </c>
      <c r="D577">
        <v>47</v>
      </c>
      <c r="E577">
        <v>63</v>
      </c>
      <c r="F577">
        <v>35.5</v>
      </c>
      <c r="G577">
        <v>0.28000000000000003</v>
      </c>
      <c r="H577">
        <v>25</v>
      </c>
      <c r="I577">
        <v>0</v>
      </c>
    </row>
    <row r="578" spans="1:9" x14ac:dyDescent="0.3">
      <c r="A578">
        <v>6</v>
      </c>
      <c r="B578">
        <v>108</v>
      </c>
      <c r="C578">
        <v>44</v>
      </c>
      <c r="D578">
        <v>20</v>
      </c>
      <c r="E578">
        <v>130</v>
      </c>
      <c r="F578">
        <v>24</v>
      </c>
      <c r="G578">
        <v>0.81299999999999994</v>
      </c>
      <c r="H578">
        <v>35</v>
      </c>
      <c r="I578">
        <v>0</v>
      </c>
    </row>
    <row r="579" spans="1:9" x14ac:dyDescent="0.3">
      <c r="A579">
        <v>2</v>
      </c>
      <c r="B579">
        <v>118</v>
      </c>
      <c r="C579">
        <v>80</v>
      </c>
      <c r="D579">
        <v>0</v>
      </c>
      <c r="E579">
        <v>0</v>
      </c>
      <c r="F579">
        <v>42.9</v>
      </c>
      <c r="G579">
        <v>0.69299999999999995</v>
      </c>
      <c r="H579">
        <v>21</v>
      </c>
      <c r="I579">
        <v>1</v>
      </c>
    </row>
    <row r="580" spans="1:9" x14ac:dyDescent="0.3">
      <c r="A580">
        <v>10</v>
      </c>
      <c r="B580">
        <v>133</v>
      </c>
      <c r="C580">
        <v>68</v>
      </c>
      <c r="D580">
        <v>0</v>
      </c>
      <c r="E580">
        <v>0</v>
      </c>
      <c r="F580">
        <v>27</v>
      </c>
      <c r="G580">
        <v>0.245</v>
      </c>
      <c r="H580">
        <v>36</v>
      </c>
      <c r="I580">
        <v>0</v>
      </c>
    </row>
    <row r="581" spans="1:9" x14ac:dyDescent="0.3">
      <c r="A581">
        <v>2</v>
      </c>
      <c r="B581">
        <v>197</v>
      </c>
      <c r="C581">
        <v>70</v>
      </c>
      <c r="D581">
        <v>99</v>
      </c>
      <c r="E581">
        <v>0</v>
      </c>
      <c r="F581">
        <v>34.700000000000003</v>
      </c>
      <c r="G581">
        <v>0.57499999999999996</v>
      </c>
      <c r="H581">
        <v>62</v>
      </c>
      <c r="I581">
        <v>1</v>
      </c>
    </row>
    <row r="582" spans="1:9" x14ac:dyDescent="0.3">
      <c r="A582">
        <v>0</v>
      </c>
      <c r="B582">
        <v>151</v>
      </c>
      <c r="C582">
        <v>90</v>
      </c>
      <c r="D582">
        <v>46</v>
      </c>
      <c r="E582">
        <v>0</v>
      </c>
      <c r="F582">
        <v>42.1</v>
      </c>
      <c r="G582">
        <v>0.371</v>
      </c>
      <c r="H582">
        <v>21</v>
      </c>
      <c r="I582">
        <v>1</v>
      </c>
    </row>
    <row r="583" spans="1:9" x14ac:dyDescent="0.3">
      <c r="A583">
        <v>6</v>
      </c>
      <c r="B583">
        <v>109</v>
      </c>
      <c r="C583">
        <v>60</v>
      </c>
      <c r="D583">
        <v>27</v>
      </c>
      <c r="E583">
        <v>0</v>
      </c>
      <c r="F583">
        <v>25</v>
      </c>
      <c r="G583">
        <v>0.20599999999999999</v>
      </c>
      <c r="H583">
        <v>27</v>
      </c>
      <c r="I583">
        <v>0</v>
      </c>
    </row>
    <row r="584" spans="1:9" x14ac:dyDescent="0.3">
      <c r="A584">
        <v>12</v>
      </c>
      <c r="B584">
        <v>121</v>
      </c>
      <c r="C584">
        <v>78</v>
      </c>
      <c r="D584">
        <v>17</v>
      </c>
      <c r="E584">
        <v>0</v>
      </c>
      <c r="F584">
        <v>26.5</v>
      </c>
      <c r="G584">
        <v>0.25900000000000001</v>
      </c>
      <c r="H584">
        <v>62</v>
      </c>
      <c r="I584">
        <v>0</v>
      </c>
    </row>
    <row r="585" spans="1:9" x14ac:dyDescent="0.3">
      <c r="A585">
        <v>8</v>
      </c>
      <c r="B585">
        <v>100</v>
      </c>
      <c r="C585">
        <v>76</v>
      </c>
      <c r="D585">
        <v>0</v>
      </c>
      <c r="E585">
        <v>0</v>
      </c>
      <c r="F585">
        <v>38.700000000000003</v>
      </c>
      <c r="G585">
        <v>0.19</v>
      </c>
      <c r="H585">
        <v>42</v>
      </c>
      <c r="I585">
        <v>0</v>
      </c>
    </row>
    <row r="586" spans="1:9" x14ac:dyDescent="0.3">
      <c r="A586">
        <v>8</v>
      </c>
      <c r="B586">
        <v>124</v>
      </c>
      <c r="C586">
        <v>76</v>
      </c>
      <c r="D586">
        <v>24</v>
      </c>
      <c r="E586">
        <v>600</v>
      </c>
      <c r="F586">
        <v>28.7</v>
      </c>
      <c r="G586">
        <v>0.68700000000000006</v>
      </c>
      <c r="H586">
        <v>52</v>
      </c>
      <c r="I586">
        <v>1</v>
      </c>
    </row>
    <row r="587" spans="1:9" x14ac:dyDescent="0.3">
      <c r="A587">
        <v>1</v>
      </c>
      <c r="B587">
        <v>93</v>
      </c>
      <c r="C587">
        <v>56</v>
      </c>
      <c r="D587">
        <v>11</v>
      </c>
      <c r="E587">
        <v>0</v>
      </c>
      <c r="F587">
        <v>22.5</v>
      </c>
      <c r="G587">
        <v>0.41699999999999998</v>
      </c>
      <c r="H587">
        <v>22</v>
      </c>
      <c r="I587">
        <v>0</v>
      </c>
    </row>
    <row r="588" spans="1:9" x14ac:dyDescent="0.3">
      <c r="A588">
        <v>8</v>
      </c>
      <c r="B588">
        <v>143</v>
      </c>
      <c r="C588">
        <v>66</v>
      </c>
      <c r="D588">
        <v>0</v>
      </c>
      <c r="E588">
        <v>0</v>
      </c>
      <c r="F588">
        <v>34.9</v>
      </c>
      <c r="G588">
        <v>0.129</v>
      </c>
      <c r="H588">
        <v>41</v>
      </c>
      <c r="I588">
        <v>1</v>
      </c>
    </row>
    <row r="589" spans="1:9" x14ac:dyDescent="0.3">
      <c r="A589">
        <v>6</v>
      </c>
      <c r="B589">
        <v>103</v>
      </c>
      <c r="C589">
        <v>66</v>
      </c>
      <c r="D589">
        <v>0</v>
      </c>
      <c r="E589">
        <v>0</v>
      </c>
      <c r="F589">
        <v>24.3</v>
      </c>
      <c r="G589">
        <v>0.249</v>
      </c>
      <c r="H589">
        <v>29</v>
      </c>
      <c r="I589">
        <v>0</v>
      </c>
    </row>
    <row r="590" spans="1:9" x14ac:dyDescent="0.3">
      <c r="A590">
        <v>3</v>
      </c>
      <c r="B590">
        <v>176</v>
      </c>
      <c r="C590">
        <v>86</v>
      </c>
      <c r="D590">
        <v>27</v>
      </c>
      <c r="E590">
        <v>156</v>
      </c>
      <c r="F590">
        <v>33.299999999999997</v>
      </c>
      <c r="G590">
        <v>1.1539999999999999</v>
      </c>
      <c r="H590">
        <v>52</v>
      </c>
      <c r="I590">
        <v>1</v>
      </c>
    </row>
    <row r="591" spans="1:9" x14ac:dyDescent="0.3">
      <c r="A591">
        <v>0</v>
      </c>
      <c r="B591">
        <v>73</v>
      </c>
      <c r="C591">
        <v>0</v>
      </c>
      <c r="D591">
        <v>0</v>
      </c>
      <c r="E591">
        <v>0</v>
      </c>
      <c r="F591">
        <v>21.1</v>
      </c>
      <c r="G591">
        <v>0.34200000000000003</v>
      </c>
      <c r="H591">
        <v>25</v>
      </c>
      <c r="I591">
        <v>0</v>
      </c>
    </row>
    <row r="592" spans="1:9" x14ac:dyDescent="0.3">
      <c r="A592">
        <v>11</v>
      </c>
      <c r="B592">
        <v>111</v>
      </c>
      <c r="C592">
        <v>84</v>
      </c>
      <c r="D592">
        <v>40</v>
      </c>
      <c r="E592">
        <v>0</v>
      </c>
      <c r="F592">
        <v>46.8</v>
      </c>
      <c r="G592">
        <v>0.92500000000000004</v>
      </c>
      <c r="H592">
        <v>45</v>
      </c>
      <c r="I592">
        <v>1</v>
      </c>
    </row>
    <row r="593" spans="1:9" x14ac:dyDescent="0.3">
      <c r="A593">
        <v>2</v>
      </c>
      <c r="B593">
        <v>112</v>
      </c>
      <c r="C593">
        <v>78</v>
      </c>
      <c r="D593">
        <v>50</v>
      </c>
      <c r="E593">
        <v>140</v>
      </c>
      <c r="F593">
        <v>39.4</v>
      </c>
      <c r="G593">
        <v>0.17499999999999999</v>
      </c>
      <c r="H593">
        <v>24</v>
      </c>
      <c r="I593">
        <v>0</v>
      </c>
    </row>
    <row r="594" spans="1:9" x14ac:dyDescent="0.3">
      <c r="A594">
        <v>3</v>
      </c>
      <c r="B594">
        <v>132</v>
      </c>
      <c r="C594">
        <v>80</v>
      </c>
      <c r="D594">
        <v>0</v>
      </c>
      <c r="E594">
        <v>0</v>
      </c>
      <c r="F594">
        <v>34.4</v>
      </c>
      <c r="G594">
        <v>0.40200000000000002</v>
      </c>
      <c r="H594">
        <v>44</v>
      </c>
      <c r="I594">
        <v>1</v>
      </c>
    </row>
    <row r="595" spans="1:9" x14ac:dyDescent="0.3">
      <c r="A595">
        <v>2</v>
      </c>
      <c r="B595">
        <v>82</v>
      </c>
      <c r="C595">
        <v>52</v>
      </c>
      <c r="D595">
        <v>22</v>
      </c>
      <c r="E595">
        <v>115</v>
      </c>
      <c r="F595">
        <v>28.5</v>
      </c>
      <c r="G595">
        <v>1.6990000000000001</v>
      </c>
      <c r="H595">
        <v>25</v>
      </c>
      <c r="I595">
        <v>0</v>
      </c>
    </row>
    <row r="596" spans="1:9" x14ac:dyDescent="0.3">
      <c r="A596">
        <v>6</v>
      </c>
      <c r="B596">
        <v>123</v>
      </c>
      <c r="C596">
        <v>72</v>
      </c>
      <c r="D596">
        <v>45</v>
      </c>
      <c r="E596">
        <v>230</v>
      </c>
      <c r="F596">
        <v>33.6</v>
      </c>
      <c r="G596">
        <v>0.73299999999999998</v>
      </c>
      <c r="H596">
        <v>34</v>
      </c>
      <c r="I596">
        <v>0</v>
      </c>
    </row>
    <row r="597" spans="1:9" x14ac:dyDescent="0.3">
      <c r="A597">
        <v>0</v>
      </c>
      <c r="B597">
        <v>188</v>
      </c>
      <c r="C597">
        <v>82</v>
      </c>
      <c r="D597">
        <v>14</v>
      </c>
      <c r="E597">
        <v>185</v>
      </c>
      <c r="F597">
        <v>32</v>
      </c>
      <c r="G597">
        <v>0.68200000000000005</v>
      </c>
      <c r="H597">
        <v>22</v>
      </c>
      <c r="I597">
        <v>1</v>
      </c>
    </row>
    <row r="598" spans="1:9" x14ac:dyDescent="0.3">
      <c r="A598">
        <v>0</v>
      </c>
      <c r="B598">
        <v>67</v>
      </c>
      <c r="C598">
        <v>76</v>
      </c>
      <c r="D598">
        <v>0</v>
      </c>
      <c r="E598">
        <v>0</v>
      </c>
      <c r="F598">
        <v>45.3</v>
      </c>
      <c r="G598">
        <v>0.19400000000000001</v>
      </c>
      <c r="H598">
        <v>46</v>
      </c>
      <c r="I598">
        <v>0</v>
      </c>
    </row>
    <row r="599" spans="1:9" x14ac:dyDescent="0.3">
      <c r="A599">
        <v>1</v>
      </c>
      <c r="B599">
        <v>89</v>
      </c>
      <c r="C599">
        <v>24</v>
      </c>
      <c r="D599">
        <v>19</v>
      </c>
      <c r="E599">
        <v>25</v>
      </c>
      <c r="F599">
        <v>27.8</v>
      </c>
      <c r="G599">
        <v>0.55900000000000005</v>
      </c>
      <c r="H599">
        <v>21</v>
      </c>
      <c r="I599">
        <v>0</v>
      </c>
    </row>
    <row r="600" spans="1:9" x14ac:dyDescent="0.3">
      <c r="A600">
        <v>1</v>
      </c>
      <c r="B600">
        <v>173</v>
      </c>
      <c r="C600">
        <v>74</v>
      </c>
      <c r="D600">
        <v>0</v>
      </c>
      <c r="E600">
        <v>0</v>
      </c>
      <c r="F600">
        <v>36.799999999999997</v>
      </c>
      <c r="G600">
        <v>8.7999999999999995E-2</v>
      </c>
      <c r="H600">
        <v>38</v>
      </c>
      <c r="I600">
        <v>1</v>
      </c>
    </row>
    <row r="601" spans="1:9" x14ac:dyDescent="0.3">
      <c r="A601">
        <v>1</v>
      </c>
      <c r="B601">
        <v>109</v>
      </c>
      <c r="C601">
        <v>38</v>
      </c>
      <c r="D601">
        <v>18</v>
      </c>
      <c r="E601">
        <v>120</v>
      </c>
      <c r="F601">
        <v>23.1</v>
      </c>
      <c r="G601">
        <v>0.40699999999999997</v>
      </c>
      <c r="H601">
        <v>26</v>
      </c>
      <c r="I601">
        <v>0</v>
      </c>
    </row>
    <row r="602" spans="1:9" x14ac:dyDescent="0.3">
      <c r="A602">
        <v>1</v>
      </c>
      <c r="B602">
        <v>108</v>
      </c>
      <c r="C602">
        <v>88</v>
      </c>
      <c r="D602">
        <v>19</v>
      </c>
      <c r="E602">
        <v>0</v>
      </c>
      <c r="F602">
        <v>27.1</v>
      </c>
      <c r="G602">
        <v>0.4</v>
      </c>
      <c r="H602">
        <v>24</v>
      </c>
      <c r="I602">
        <v>0</v>
      </c>
    </row>
    <row r="603" spans="1:9" x14ac:dyDescent="0.3">
      <c r="A603">
        <v>6</v>
      </c>
      <c r="B603">
        <v>96</v>
      </c>
      <c r="C603">
        <v>0</v>
      </c>
      <c r="D603">
        <v>0</v>
      </c>
      <c r="E603">
        <v>0</v>
      </c>
      <c r="F603">
        <v>23.7</v>
      </c>
      <c r="G603">
        <v>0.19</v>
      </c>
      <c r="H603">
        <v>28</v>
      </c>
      <c r="I603">
        <v>0</v>
      </c>
    </row>
    <row r="604" spans="1:9" x14ac:dyDescent="0.3">
      <c r="A604">
        <v>1</v>
      </c>
      <c r="B604">
        <v>124</v>
      </c>
      <c r="C604">
        <v>74</v>
      </c>
      <c r="D604">
        <v>36</v>
      </c>
      <c r="E604">
        <v>0</v>
      </c>
      <c r="F604">
        <v>27.8</v>
      </c>
      <c r="G604">
        <v>0.1</v>
      </c>
      <c r="H604">
        <v>30</v>
      </c>
      <c r="I604">
        <v>0</v>
      </c>
    </row>
    <row r="605" spans="1:9" x14ac:dyDescent="0.3">
      <c r="A605">
        <v>7</v>
      </c>
      <c r="B605">
        <v>150</v>
      </c>
      <c r="C605">
        <v>78</v>
      </c>
      <c r="D605">
        <v>29</v>
      </c>
      <c r="E605">
        <v>126</v>
      </c>
      <c r="F605">
        <v>35.200000000000003</v>
      </c>
      <c r="G605">
        <v>0.69199999999999995</v>
      </c>
      <c r="H605">
        <v>54</v>
      </c>
      <c r="I605">
        <v>1</v>
      </c>
    </row>
    <row r="606" spans="1:9" x14ac:dyDescent="0.3">
      <c r="A606">
        <v>4</v>
      </c>
      <c r="B606">
        <v>183</v>
      </c>
      <c r="C606">
        <v>0</v>
      </c>
      <c r="D606">
        <v>0</v>
      </c>
      <c r="E606">
        <v>0</v>
      </c>
      <c r="F606">
        <v>28.4</v>
      </c>
      <c r="G606">
        <v>0.21199999999999999</v>
      </c>
      <c r="H606">
        <v>36</v>
      </c>
      <c r="I606">
        <v>1</v>
      </c>
    </row>
    <row r="607" spans="1:9" x14ac:dyDescent="0.3">
      <c r="A607">
        <v>1</v>
      </c>
      <c r="B607">
        <v>124</v>
      </c>
      <c r="C607">
        <v>60</v>
      </c>
      <c r="D607">
        <v>32</v>
      </c>
      <c r="E607">
        <v>0</v>
      </c>
      <c r="F607">
        <v>35.799999999999997</v>
      </c>
      <c r="G607">
        <v>0.51400000000000001</v>
      </c>
      <c r="H607">
        <v>21</v>
      </c>
      <c r="I607">
        <v>0</v>
      </c>
    </row>
    <row r="608" spans="1:9" x14ac:dyDescent="0.3">
      <c r="A608">
        <v>1</v>
      </c>
      <c r="B608">
        <v>181</v>
      </c>
      <c r="C608">
        <v>78</v>
      </c>
      <c r="D608">
        <v>42</v>
      </c>
      <c r="E608">
        <v>293</v>
      </c>
      <c r="F608">
        <v>40</v>
      </c>
      <c r="G608">
        <v>1.258</v>
      </c>
      <c r="H608">
        <v>22</v>
      </c>
      <c r="I608">
        <v>1</v>
      </c>
    </row>
    <row r="609" spans="1:9" x14ac:dyDescent="0.3">
      <c r="A609">
        <v>1</v>
      </c>
      <c r="B609">
        <v>92</v>
      </c>
      <c r="C609">
        <v>62</v>
      </c>
      <c r="D609">
        <v>25</v>
      </c>
      <c r="E609">
        <v>41</v>
      </c>
      <c r="F609">
        <v>19.5</v>
      </c>
      <c r="G609">
        <v>0.48199999999999998</v>
      </c>
      <c r="H609">
        <v>25</v>
      </c>
      <c r="I609">
        <v>0</v>
      </c>
    </row>
    <row r="610" spans="1:9" x14ac:dyDescent="0.3">
      <c r="A610">
        <v>0</v>
      </c>
      <c r="B610">
        <v>152</v>
      </c>
      <c r="C610">
        <v>82</v>
      </c>
      <c r="D610">
        <v>39</v>
      </c>
      <c r="E610">
        <v>272</v>
      </c>
      <c r="F610">
        <v>41.5</v>
      </c>
      <c r="G610">
        <v>0.27</v>
      </c>
      <c r="H610">
        <v>27</v>
      </c>
      <c r="I610">
        <v>0</v>
      </c>
    </row>
    <row r="611" spans="1:9" x14ac:dyDescent="0.3">
      <c r="A611">
        <v>1</v>
      </c>
      <c r="B611">
        <v>111</v>
      </c>
      <c r="C611">
        <v>62</v>
      </c>
      <c r="D611">
        <v>13</v>
      </c>
      <c r="E611">
        <v>182</v>
      </c>
      <c r="F611">
        <v>24</v>
      </c>
      <c r="G611">
        <v>0.13800000000000001</v>
      </c>
      <c r="H611">
        <v>23</v>
      </c>
      <c r="I611">
        <v>0</v>
      </c>
    </row>
    <row r="612" spans="1:9" x14ac:dyDescent="0.3">
      <c r="A612">
        <v>3</v>
      </c>
      <c r="B612">
        <v>106</v>
      </c>
      <c r="C612">
        <v>54</v>
      </c>
      <c r="D612">
        <v>21</v>
      </c>
      <c r="E612">
        <v>158</v>
      </c>
      <c r="F612">
        <v>30.9</v>
      </c>
      <c r="G612">
        <v>0.29199999999999998</v>
      </c>
      <c r="H612">
        <v>24</v>
      </c>
      <c r="I612">
        <v>0</v>
      </c>
    </row>
    <row r="613" spans="1:9" x14ac:dyDescent="0.3">
      <c r="A613">
        <v>3</v>
      </c>
      <c r="B613">
        <v>174</v>
      </c>
      <c r="C613">
        <v>58</v>
      </c>
      <c r="D613">
        <v>22</v>
      </c>
      <c r="E613">
        <v>194</v>
      </c>
      <c r="F613">
        <v>32.9</v>
      </c>
      <c r="G613">
        <v>0.59299999999999997</v>
      </c>
      <c r="H613">
        <v>36</v>
      </c>
      <c r="I613">
        <v>1</v>
      </c>
    </row>
    <row r="614" spans="1:9" x14ac:dyDescent="0.3">
      <c r="A614">
        <v>7</v>
      </c>
      <c r="B614">
        <v>168</v>
      </c>
      <c r="C614">
        <v>88</v>
      </c>
      <c r="D614">
        <v>42</v>
      </c>
      <c r="E614">
        <v>321</v>
      </c>
      <c r="F614">
        <v>38.200000000000003</v>
      </c>
      <c r="G614">
        <v>0.78700000000000003</v>
      </c>
      <c r="H614">
        <v>40</v>
      </c>
      <c r="I614">
        <v>1</v>
      </c>
    </row>
    <row r="615" spans="1:9" x14ac:dyDescent="0.3">
      <c r="A615">
        <v>6</v>
      </c>
      <c r="B615">
        <v>105</v>
      </c>
      <c r="C615">
        <v>80</v>
      </c>
      <c r="D615">
        <v>28</v>
      </c>
      <c r="E615">
        <v>0</v>
      </c>
      <c r="F615">
        <v>32.5</v>
      </c>
      <c r="G615">
        <v>0.878</v>
      </c>
      <c r="H615">
        <v>26</v>
      </c>
      <c r="I615">
        <v>0</v>
      </c>
    </row>
    <row r="616" spans="1:9" x14ac:dyDescent="0.3">
      <c r="A616">
        <v>11</v>
      </c>
      <c r="B616">
        <v>138</v>
      </c>
      <c r="C616">
        <v>74</v>
      </c>
      <c r="D616">
        <v>26</v>
      </c>
      <c r="E616">
        <v>144</v>
      </c>
      <c r="F616">
        <v>36.1</v>
      </c>
      <c r="G616">
        <v>0.55700000000000005</v>
      </c>
      <c r="H616">
        <v>50</v>
      </c>
      <c r="I616">
        <v>1</v>
      </c>
    </row>
    <row r="617" spans="1:9" x14ac:dyDescent="0.3">
      <c r="A617">
        <v>3</v>
      </c>
      <c r="B617">
        <v>106</v>
      </c>
      <c r="C617">
        <v>72</v>
      </c>
      <c r="D617">
        <v>0</v>
      </c>
      <c r="E617">
        <v>0</v>
      </c>
      <c r="F617">
        <v>25.8</v>
      </c>
      <c r="G617">
        <v>0.20699999999999999</v>
      </c>
      <c r="H617">
        <v>27</v>
      </c>
      <c r="I617">
        <v>0</v>
      </c>
    </row>
    <row r="618" spans="1:9" x14ac:dyDescent="0.3">
      <c r="A618">
        <v>6</v>
      </c>
      <c r="B618">
        <v>117</v>
      </c>
      <c r="C618">
        <v>96</v>
      </c>
      <c r="D618">
        <v>0</v>
      </c>
      <c r="E618">
        <v>0</v>
      </c>
      <c r="F618">
        <v>28.7</v>
      </c>
      <c r="G618">
        <v>0.157</v>
      </c>
      <c r="H618">
        <v>30</v>
      </c>
      <c r="I618">
        <v>0</v>
      </c>
    </row>
    <row r="619" spans="1:9" x14ac:dyDescent="0.3">
      <c r="A619">
        <v>2</v>
      </c>
      <c r="B619">
        <v>68</v>
      </c>
      <c r="C619">
        <v>62</v>
      </c>
      <c r="D619">
        <v>13</v>
      </c>
      <c r="E619">
        <v>15</v>
      </c>
      <c r="F619">
        <v>20.100000000000001</v>
      </c>
      <c r="G619">
        <v>0.25700000000000001</v>
      </c>
      <c r="H619">
        <v>23</v>
      </c>
      <c r="I619">
        <v>0</v>
      </c>
    </row>
    <row r="620" spans="1:9" x14ac:dyDescent="0.3">
      <c r="A620">
        <v>9</v>
      </c>
      <c r="B620">
        <v>112</v>
      </c>
      <c r="C620">
        <v>82</v>
      </c>
      <c r="D620">
        <v>24</v>
      </c>
      <c r="E620">
        <v>0</v>
      </c>
      <c r="F620">
        <v>28.2</v>
      </c>
      <c r="G620">
        <v>1.282</v>
      </c>
      <c r="H620">
        <v>50</v>
      </c>
      <c r="I620">
        <v>1</v>
      </c>
    </row>
    <row r="621" spans="1:9" x14ac:dyDescent="0.3">
      <c r="A621">
        <v>0</v>
      </c>
      <c r="B621">
        <v>119</v>
      </c>
      <c r="C621">
        <v>0</v>
      </c>
      <c r="D621">
        <v>0</v>
      </c>
      <c r="E621">
        <v>0</v>
      </c>
      <c r="F621">
        <v>32.4</v>
      </c>
      <c r="G621">
        <v>0.14099999999999999</v>
      </c>
      <c r="H621">
        <v>24</v>
      </c>
      <c r="I621">
        <v>1</v>
      </c>
    </row>
    <row r="622" spans="1:9" x14ac:dyDescent="0.3">
      <c r="A622">
        <v>2</v>
      </c>
      <c r="B622">
        <v>112</v>
      </c>
      <c r="C622">
        <v>86</v>
      </c>
      <c r="D622">
        <v>42</v>
      </c>
      <c r="E622">
        <v>160</v>
      </c>
      <c r="F622">
        <v>38.4</v>
      </c>
      <c r="G622">
        <v>0.246</v>
      </c>
      <c r="H622">
        <v>28</v>
      </c>
      <c r="I622">
        <v>0</v>
      </c>
    </row>
    <row r="623" spans="1:9" x14ac:dyDescent="0.3">
      <c r="A623">
        <v>2</v>
      </c>
      <c r="B623">
        <v>92</v>
      </c>
      <c r="C623">
        <v>76</v>
      </c>
      <c r="D623">
        <v>20</v>
      </c>
      <c r="E623">
        <v>0</v>
      </c>
      <c r="F623">
        <v>24.2</v>
      </c>
      <c r="G623">
        <v>1.698</v>
      </c>
      <c r="H623">
        <v>28</v>
      </c>
      <c r="I623">
        <v>0</v>
      </c>
    </row>
    <row r="624" spans="1:9" x14ac:dyDescent="0.3">
      <c r="A624">
        <v>6</v>
      </c>
      <c r="B624">
        <v>183</v>
      </c>
      <c r="C624">
        <v>94</v>
      </c>
      <c r="D624">
        <v>0</v>
      </c>
      <c r="E624">
        <v>0</v>
      </c>
      <c r="F624">
        <v>40.799999999999997</v>
      </c>
      <c r="G624">
        <v>1.4610000000000001</v>
      </c>
      <c r="H624">
        <v>45</v>
      </c>
      <c r="I624">
        <v>0</v>
      </c>
    </row>
    <row r="625" spans="1:9" x14ac:dyDescent="0.3">
      <c r="A625">
        <v>0</v>
      </c>
      <c r="B625">
        <v>94</v>
      </c>
      <c r="C625">
        <v>70</v>
      </c>
      <c r="D625">
        <v>27</v>
      </c>
      <c r="E625">
        <v>115</v>
      </c>
      <c r="F625">
        <v>43.5</v>
      </c>
      <c r="G625">
        <v>0.34699999999999998</v>
      </c>
      <c r="H625">
        <v>21</v>
      </c>
      <c r="I625">
        <v>0</v>
      </c>
    </row>
    <row r="626" spans="1:9" x14ac:dyDescent="0.3">
      <c r="A626">
        <v>2</v>
      </c>
      <c r="B626">
        <v>108</v>
      </c>
      <c r="C626">
        <v>64</v>
      </c>
      <c r="D626">
        <v>0</v>
      </c>
      <c r="E626">
        <v>0</v>
      </c>
      <c r="F626">
        <v>30.8</v>
      </c>
      <c r="G626">
        <v>0.158</v>
      </c>
      <c r="H626">
        <v>21</v>
      </c>
      <c r="I626">
        <v>0</v>
      </c>
    </row>
    <row r="627" spans="1:9" x14ac:dyDescent="0.3">
      <c r="A627">
        <v>4</v>
      </c>
      <c r="B627">
        <v>90</v>
      </c>
      <c r="C627">
        <v>88</v>
      </c>
      <c r="D627">
        <v>47</v>
      </c>
      <c r="E627">
        <v>54</v>
      </c>
      <c r="F627">
        <v>37.700000000000003</v>
      </c>
      <c r="G627">
        <v>0.36199999999999999</v>
      </c>
      <c r="H627">
        <v>29</v>
      </c>
      <c r="I627">
        <v>0</v>
      </c>
    </row>
    <row r="628" spans="1:9" x14ac:dyDescent="0.3">
      <c r="A628">
        <v>0</v>
      </c>
      <c r="B628">
        <v>125</v>
      </c>
      <c r="C628">
        <v>68</v>
      </c>
      <c r="D628">
        <v>0</v>
      </c>
      <c r="E628">
        <v>0</v>
      </c>
      <c r="F628">
        <v>24.7</v>
      </c>
      <c r="G628">
        <v>0.20599999999999999</v>
      </c>
      <c r="H628">
        <v>21</v>
      </c>
      <c r="I628">
        <v>0</v>
      </c>
    </row>
    <row r="629" spans="1:9" x14ac:dyDescent="0.3">
      <c r="A629">
        <v>0</v>
      </c>
      <c r="B629">
        <v>132</v>
      </c>
      <c r="C629">
        <v>78</v>
      </c>
      <c r="D629">
        <v>0</v>
      </c>
      <c r="E629">
        <v>0</v>
      </c>
      <c r="F629">
        <v>32.4</v>
      </c>
      <c r="G629">
        <v>0.39300000000000002</v>
      </c>
      <c r="H629">
        <v>21</v>
      </c>
      <c r="I629">
        <v>0</v>
      </c>
    </row>
    <row r="630" spans="1:9" x14ac:dyDescent="0.3">
      <c r="A630">
        <v>5</v>
      </c>
      <c r="B630">
        <v>128</v>
      </c>
      <c r="C630">
        <v>80</v>
      </c>
      <c r="D630">
        <v>0</v>
      </c>
      <c r="E630">
        <v>0</v>
      </c>
      <c r="F630">
        <v>34.6</v>
      </c>
      <c r="G630">
        <v>0.14399999999999999</v>
      </c>
      <c r="H630">
        <v>45</v>
      </c>
      <c r="I630">
        <v>0</v>
      </c>
    </row>
    <row r="631" spans="1:9" x14ac:dyDescent="0.3">
      <c r="A631">
        <v>4</v>
      </c>
      <c r="B631">
        <v>94</v>
      </c>
      <c r="C631">
        <v>65</v>
      </c>
      <c r="D631">
        <v>22</v>
      </c>
      <c r="E631">
        <v>0</v>
      </c>
      <c r="F631">
        <v>24.7</v>
      </c>
      <c r="G631">
        <v>0.14799999999999999</v>
      </c>
      <c r="H631">
        <v>21</v>
      </c>
      <c r="I631">
        <v>0</v>
      </c>
    </row>
    <row r="632" spans="1:9" x14ac:dyDescent="0.3">
      <c r="A632">
        <v>7</v>
      </c>
      <c r="B632">
        <v>114</v>
      </c>
      <c r="C632">
        <v>64</v>
      </c>
      <c r="D632">
        <v>0</v>
      </c>
      <c r="E632">
        <v>0</v>
      </c>
      <c r="F632">
        <v>27.4</v>
      </c>
      <c r="G632">
        <v>0.73199999999999998</v>
      </c>
      <c r="H632">
        <v>34</v>
      </c>
      <c r="I632">
        <v>1</v>
      </c>
    </row>
    <row r="633" spans="1:9" x14ac:dyDescent="0.3">
      <c r="A633">
        <v>0</v>
      </c>
      <c r="B633">
        <v>102</v>
      </c>
      <c r="C633">
        <v>78</v>
      </c>
      <c r="D633">
        <v>40</v>
      </c>
      <c r="E633">
        <v>90</v>
      </c>
      <c r="F633">
        <v>34.5</v>
      </c>
      <c r="G633">
        <v>0.23799999999999999</v>
      </c>
      <c r="H633">
        <v>24</v>
      </c>
      <c r="I633">
        <v>0</v>
      </c>
    </row>
    <row r="634" spans="1:9" x14ac:dyDescent="0.3">
      <c r="A634">
        <v>2</v>
      </c>
      <c r="B634">
        <v>111</v>
      </c>
      <c r="C634">
        <v>60</v>
      </c>
      <c r="D634">
        <v>0</v>
      </c>
      <c r="E634">
        <v>0</v>
      </c>
      <c r="F634">
        <v>26.2</v>
      </c>
      <c r="G634">
        <v>0.34300000000000003</v>
      </c>
      <c r="H634">
        <v>23</v>
      </c>
      <c r="I634">
        <v>0</v>
      </c>
    </row>
    <row r="635" spans="1:9" x14ac:dyDescent="0.3">
      <c r="A635">
        <v>1</v>
      </c>
      <c r="B635">
        <v>128</v>
      </c>
      <c r="C635">
        <v>82</v>
      </c>
      <c r="D635">
        <v>17</v>
      </c>
      <c r="E635">
        <v>183</v>
      </c>
      <c r="F635">
        <v>27.5</v>
      </c>
      <c r="G635">
        <v>0.115</v>
      </c>
      <c r="H635">
        <v>22</v>
      </c>
      <c r="I635">
        <v>0</v>
      </c>
    </row>
    <row r="636" spans="1:9" x14ac:dyDescent="0.3">
      <c r="A636">
        <v>10</v>
      </c>
      <c r="B636">
        <v>92</v>
      </c>
      <c r="C636">
        <v>62</v>
      </c>
      <c r="D636">
        <v>0</v>
      </c>
      <c r="E636">
        <v>0</v>
      </c>
      <c r="F636">
        <v>25.9</v>
      </c>
      <c r="G636">
        <v>0.16700000000000001</v>
      </c>
      <c r="H636">
        <v>31</v>
      </c>
      <c r="I636">
        <v>0</v>
      </c>
    </row>
    <row r="637" spans="1:9" x14ac:dyDescent="0.3">
      <c r="A637">
        <v>13</v>
      </c>
      <c r="B637">
        <v>104</v>
      </c>
      <c r="C637">
        <v>72</v>
      </c>
      <c r="D637">
        <v>0</v>
      </c>
      <c r="E637">
        <v>0</v>
      </c>
      <c r="F637">
        <v>31.2</v>
      </c>
      <c r="G637">
        <v>0.46500000000000002</v>
      </c>
      <c r="H637">
        <v>38</v>
      </c>
      <c r="I637">
        <v>1</v>
      </c>
    </row>
    <row r="638" spans="1:9" x14ac:dyDescent="0.3">
      <c r="A638">
        <v>5</v>
      </c>
      <c r="B638">
        <v>104</v>
      </c>
      <c r="C638">
        <v>74</v>
      </c>
      <c r="D638">
        <v>0</v>
      </c>
      <c r="E638">
        <v>0</v>
      </c>
      <c r="F638">
        <v>28.8</v>
      </c>
      <c r="G638">
        <v>0.153</v>
      </c>
      <c r="H638">
        <v>48</v>
      </c>
      <c r="I638">
        <v>0</v>
      </c>
    </row>
    <row r="639" spans="1:9" x14ac:dyDescent="0.3">
      <c r="A639">
        <v>2</v>
      </c>
      <c r="B639">
        <v>94</v>
      </c>
      <c r="C639">
        <v>76</v>
      </c>
      <c r="D639">
        <v>18</v>
      </c>
      <c r="E639">
        <v>66</v>
      </c>
      <c r="F639">
        <v>31.6</v>
      </c>
      <c r="G639">
        <v>0.64900000000000002</v>
      </c>
      <c r="H639">
        <v>23</v>
      </c>
      <c r="I639">
        <v>0</v>
      </c>
    </row>
    <row r="640" spans="1:9" x14ac:dyDescent="0.3">
      <c r="A640">
        <v>7</v>
      </c>
      <c r="B640">
        <v>97</v>
      </c>
      <c r="C640">
        <v>76</v>
      </c>
      <c r="D640">
        <v>32</v>
      </c>
      <c r="E640">
        <v>91</v>
      </c>
      <c r="F640">
        <v>40.9</v>
      </c>
      <c r="G640">
        <v>0.871</v>
      </c>
      <c r="H640">
        <v>32</v>
      </c>
      <c r="I640">
        <v>1</v>
      </c>
    </row>
    <row r="641" spans="1:9" x14ac:dyDescent="0.3">
      <c r="A641">
        <v>1</v>
      </c>
      <c r="B641">
        <v>100</v>
      </c>
      <c r="C641">
        <v>74</v>
      </c>
      <c r="D641">
        <v>12</v>
      </c>
      <c r="E641">
        <v>46</v>
      </c>
      <c r="F641">
        <v>19.5</v>
      </c>
      <c r="G641">
        <v>0.14899999999999999</v>
      </c>
      <c r="H641">
        <v>28</v>
      </c>
      <c r="I641">
        <v>0</v>
      </c>
    </row>
    <row r="642" spans="1:9" x14ac:dyDescent="0.3">
      <c r="A642">
        <v>0</v>
      </c>
      <c r="B642">
        <v>102</v>
      </c>
      <c r="C642">
        <v>86</v>
      </c>
      <c r="D642">
        <v>17</v>
      </c>
      <c r="E642">
        <v>105</v>
      </c>
      <c r="F642">
        <v>29.3</v>
      </c>
      <c r="G642">
        <v>0.69499999999999995</v>
      </c>
      <c r="H642">
        <v>27</v>
      </c>
      <c r="I642">
        <v>0</v>
      </c>
    </row>
    <row r="643" spans="1:9" x14ac:dyDescent="0.3">
      <c r="A643">
        <v>4</v>
      </c>
      <c r="B643">
        <v>128</v>
      </c>
      <c r="C643">
        <v>70</v>
      </c>
      <c r="D643">
        <v>0</v>
      </c>
      <c r="E643">
        <v>0</v>
      </c>
      <c r="F643">
        <v>34.299999999999997</v>
      </c>
      <c r="G643">
        <v>0.30299999999999999</v>
      </c>
      <c r="H643">
        <v>24</v>
      </c>
      <c r="I643">
        <v>0</v>
      </c>
    </row>
    <row r="644" spans="1:9" x14ac:dyDescent="0.3">
      <c r="A644">
        <v>6</v>
      </c>
      <c r="B644">
        <v>147</v>
      </c>
      <c r="C644">
        <v>80</v>
      </c>
      <c r="D644">
        <v>0</v>
      </c>
      <c r="E644">
        <v>0</v>
      </c>
      <c r="F644">
        <v>29.5</v>
      </c>
      <c r="G644">
        <v>0.17799999999999999</v>
      </c>
      <c r="H644">
        <v>50</v>
      </c>
      <c r="I644">
        <v>1</v>
      </c>
    </row>
    <row r="645" spans="1:9" x14ac:dyDescent="0.3">
      <c r="A645">
        <v>4</v>
      </c>
      <c r="B645">
        <v>90</v>
      </c>
      <c r="C645">
        <v>0</v>
      </c>
      <c r="D645">
        <v>0</v>
      </c>
      <c r="E645">
        <v>0</v>
      </c>
      <c r="F645">
        <v>28</v>
      </c>
      <c r="G645">
        <v>0.61</v>
      </c>
      <c r="H645">
        <v>31</v>
      </c>
      <c r="I645">
        <v>0</v>
      </c>
    </row>
    <row r="646" spans="1:9" x14ac:dyDescent="0.3">
      <c r="A646">
        <v>3</v>
      </c>
      <c r="B646">
        <v>103</v>
      </c>
      <c r="C646">
        <v>72</v>
      </c>
      <c r="D646">
        <v>30</v>
      </c>
      <c r="E646">
        <v>152</v>
      </c>
      <c r="F646">
        <v>27.6</v>
      </c>
      <c r="G646">
        <v>0.73</v>
      </c>
      <c r="H646">
        <v>27</v>
      </c>
      <c r="I646">
        <v>0</v>
      </c>
    </row>
    <row r="647" spans="1:9" x14ac:dyDescent="0.3">
      <c r="A647">
        <v>2</v>
      </c>
      <c r="B647">
        <v>157</v>
      </c>
      <c r="C647">
        <v>74</v>
      </c>
      <c r="D647">
        <v>35</v>
      </c>
      <c r="E647">
        <v>440</v>
      </c>
      <c r="F647">
        <v>39.4</v>
      </c>
      <c r="G647">
        <v>0.13400000000000001</v>
      </c>
      <c r="H647">
        <v>30</v>
      </c>
      <c r="I647">
        <v>0</v>
      </c>
    </row>
    <row r="648" spans="1:9" x14ac:dyDescent="0.3">
      <c r="A648">
        <v>1</v>
      </c>
      <c r="B648">
        <v>167</v>
      </c>
      <c r="C648">
        <v>74</v>
      </c>
      <c r="D648">
        <v>17</v>
      </c>
      <c r="E648">
        <v>144</v>
      </c>
      <c r="F648">
        <v>23.4</v>
      </c>
      <c r="G648">
        <v>0.44700000000000001</v>
      </c>
      <c r="H648">
        <v>33</v>
      </c>
      <c r="I648">
        <v>1</v>
      </c>
    </row>
    <row r="649" spans="1:9" x14ac:dyDescent="0.3">
      <c r="A649">
        <v>0</v>
      </c>
      <c r="B649">
        <v>179</v>
      </c>
      <c r="C649">
        <v>50</v>
      </c>
      <c r="D649">
        <v>36</v>
      </c>
      <c r="E649">
        <v>159</v>
      </c>
      <c r="F649">
        <v>37.799999999999997</v>
      </c>
      <c r="G649">
        <v>0.45500000000000002</v>
      </c>
      <c r="H649">
        <v>22</v>
      </c>
      <c r="I649">
        <v>1</v>
      </c>
    </row>
    <row r="650" spans="1:9" x14ac:dyDescent="0.3">
      <c r="A650">
        <v>11</v>
      </c>
      <c r="B650">
        <v>136</v>
      </c>
      <c r="C650">
        <v>84</v>
      </c>
      <c r="D650">
        <v>35</v>
      </c>
      <c r="E650">
        <v>130</v>
      </c>
      <c r="F650">
        <v>28.3</v>
      </c>
      <c r="G650">
        <v>0.26</v>
      </c>
      <c r="H650">
        <v>42</v>
      </c>
      <c r="I650">
        <v>1</v>
      </c>
    </row>
    <row r="651" spans="1:9" x14ac:dyDescent="0.3">
      <c r="A651">
        <v>0</v>
      </c>
      <c r="B651">
        <v>107</v>
      </c>
      <c r="C651">
        <v>60</v>
      </c>
      <c r="D651">
        <v>25</v>
      </c>
      <c r="E651">
        <v>0</v>
      </c>
      <c r="F651">
        <v>26.4</v>
      </c>
      <c r="G651">
        <v>0.13300000000000001</v>
      </c>
      <c r="H651">
        <v>23</v>
      </c>
      <c r="I651">
        <v>0</v>
      </c>
    </row>
    <row r="652" spans="1:9" x14ac:dyDescent="0.3">
      <c r="A652">
        <v>1</v>
      </c>
      <c r="B652">
        <v>91</v>
      </c>
      <c r="C652">
        <v>54</v>
      </c>
      <c r="D652">
        <v>25</v>
      </c>
      <c r="E652">
        <v>100</v>
      </c>
      <c r="F652">
        <v>25.2</v>
      </c>
      <c r="G652">
        <v>0.23400000000000001</v>
      </c>
      <c r="H652">
        <v>23</v>
      </c>
      <c r="I652">
        <v>0</v>
      </c>
    </row>
    <row r="653" spans="1:9" x14ac:dyDescent="0.3">
      <c r="A653">
        <v>1</v>
      </c>
      <c r="B653">
        <v>117</v>
      </c>
      <c r="C653">
        <v>60</v>
      </c>
      <c r="D653">
        <v>23</v>
      </c>
      <c r="E653">
        <v>106</v>
      </c>
      <c r="F653">
        <v>33.799999999999997</v>
      </c>
      <c r="G653">
        <v>0.46600000000000003</v>
      </c>
      <c r="H653">
        <v>27</v>
      </c>
      <c r="I653">
        <v>0</v>
      </c>
    </row>
    <row r="654" spans="1:9" x14ac:dyDescent="0.3">
      <c r="A654">
        <v>5</v>
      </c>
      <c r="B654">
        <v>123</v>
      </c>
      <c r="C654">
        <v>74</v>
      </c>
      <c r="D654">
        <v>40</v>
      </c>
      <c r="E654">
        <v>77</v>
      </c>
      <c r="F654">
        <v>34.1</v>
      </c>
      <c r="G654">
        <v>0.26900000000000002</v>
      </c>
      <c r="H654">
        <v>28</v>
      </c>
      <c r="I654">
        <v>0</v>
      </c>
    </row>
    <row r="655" spans="1:9" x14ac:dyDescent="0.3">
      <c r="A655">
        <v>2</v>
      </c>
      <c r="B655">
        <v>120</v>
      </c>
      <c r="C655">
        <v>54</v>
      </c>
      <c r="D655">
        <v>0</v>
      </c>
      <c r="E655">
        <v>0</v>
      </c>
      <c r="F655">
        <v>26.8</v>
      </c>
      <c r="G655">
        <v>0.45500000000000002</v>
      </c>
      <c r="H655">
        <v>27</v>
      </c>
      <c r="I655">
        <v>0</v>
      </c>
    </row>
    <row r="656" spans="1:9" x14ac:dyDescent="0.3">
      <c r="A656">
        <v>1</v>
      </c>
      <c r="B656">
        <v>106</v>
      </c>
      <c r="C656">
        <v>70</v>
      </c>
      <c r="D656">
        <v>28</v>
      </c>
      <c r="E656">
        <v>135</v>
      </c>
      <c r="F656">
        <v>34.200000000000003</v>
      </c>
      <c r="G656">
        <v>0.14199999999999999</v>
      </c>
      <c r="H656">
        <v>22</v>
      </c>
      <c r="I656">
        <v>0</v>
      </c>
    </row>
    <row r="657" spans="1:9" x14ac:dyDescent="0.3">
      <c r="A657">
        <v>2</v>
      </c>
      <c r="B657">
        <v>155</v>
      </c>
      <c r="C657">
        <v>52</v>
      </c>
      <c r="D657">
        <v>27</v>
      </c>
      <c r="E657">
        <v>540</v>
      </c>
      <c r="F657">
        <v>38.700000000000003</v>
      </c>
      <c r="G657">
        <v>0.24</v>
      </c>
      <c r="H657">
        <v>25</v>
      </c>
      <c r="I657">
        <v>1</v>
      </c>
    </row>
    <row r="658" spans="1:9" x14ac:dyDescent="0.3">
      <c r="A658">
        <v>2</v>
      </c>
      <c r="B658">
        <v>101</v>
      </c>
      <c r="C658">
        <v>58</v>
      </c>
      <c r="D658">
        <v>35</v>
      </c>
      <c r="E658">
        <v>90</v>
      </c>
      <c r="F658">
        <v>21.8</v>
      </c>
      <c r="G658">
        <v>0.155</v>
      </c>
      <c r="H658">
        <v>22</v>
      </c>
      <c r="I658">
        <v>0</v>
      </c>
    </row>
    <row r="659" spans="1:9" x14ac:dyDescent="0.3">
      <c r="A659">
        <v>1</v>
      </c>
      <c r="B659">
        <v>120</v>
      </c>
      <c r="C659">
        <v>80</v>
      </c>
      <c r="D659">
        <v>48</v>
      </c>
      <c r="E659">
        <v>200</v>
      </c>
      <c r="F659">
        <v>38.9</v>
      </c>
      <c r="G659">
        <v>1.1619999999999999</v>
      </c>
      <c r="H659">
        <v>41</v>
      </c>
      <c r="I659">
        <v>0</v>
      </c>
    </row>
    <row r="660" spans="1:9" x14ac:dyDescent="0.3">
      <c r="A660">
        <v>11</v>
      </c>
      <c r="B660">
        <v>127</v>
      </c>
      <c r="C660">
        <v>106</v>
      </c>
      <c r="D660">
        <v>0</v>
      </c>
      <c r="E660">
        <v>0</v>
      </c>
      <c r="F660">
        <v>39</v>
      </c>
      <c r="G660">
        <v>0.19</v>
      </c>
      <c r="H660">
        <v>51</v>
      </c>
      <c r="I660">
        <v>0</v>
      </c>
    </row>
    <row r="661" spans="1:9" x14ac:dyDescent="0.3">
      <c r="A661">
        <v>3</v>
      </c>
      <c r="B661">
        <v>80</v>
      </c>
      <c r="C661">
        <v>82</v>
      </c>
      <c r="D661">
        <v>31</v>
      </c>
      <c r="E661">
        <v>70</v>
      </c>
      <c r="F661">
        <v>34.200000000000003</v>
      </c>
      <c r="G661">
        <v>1.292</v>
      </c>
      <c r="H661">
        <v>27</v>
      </c>
      <c r="I661">
        <v>1</v>
      </c>
    </row>
    <row r="662" spans="1:9" x14ac:dyDescent="0.3">
      <c r="A662">
        <v>10</v>
      </c>
      <c r="B662">
        <v>162</v>
      </c>
      <c r="C662">
        <v>84</v>
      </c>
      <c r="D662">
        <v>0</v>
      </c>
      <c r="E662">
        <v>0</v>
      </c>
      <c r="F662">
        <v>27.7</v>
      </c>
      <c r="G662">
        <v>0.182</v>
      </c>
      <c r="H662">
        <v>54</v>
      </c>
      <c r="I662">
        <v>0</v>
      </c>
    </row>
    <row r="663" spans="1:9" x14ac:dyDescent="0.3">
      <c r="A663">
        <v>1</v>
      </c>
      <c r="B663">
        <v>199</v>
      </c>
      <c r="C663">
        <v>76</v>
      </c>
      <c r="D663">
        <v>43</v>
      </c>
      <c r="E663">
        <v>0</v>
      </c>
      <c r="F663">
        <v>42.9</v>
      </c>
      <c r="G663">
        <v>1.3939999999999999</v>
      </c>
      <c r="H663">
        <v>22</v>
      </c>
      <c r="I663">
        <v>1</v>
      </c>
    </row>
    <row r="664" spans="1:9" x14ac:dyDescent="0.3">
      <c r="A664">
        <v>8</v>
      </c>
      <c r="B664">
        <v>167</v>
      </c>
      <c r="C664">
        <v>106</v>
      </c>
      <c r="D664">
        <v>46</v>
      </c>
      <c r="E664">
        <v>231</v>
      </c>
      <c r="F664">
        <v>37.6</v>
      </c>
      <c r="G664">
        <v>0.16500000000000001</v>
      </c>
      <c r="H664">
        <v>43</v>
      </c>
      <c r="I664">
        <v>1</v>
      </c>
    </row>
    <row r="665" spans="1:9" x14ac:dyDescent="0.3">
      <c r="A665">
        <v>9</v>
      </c>
      <c r="B665">
        <v>145</v>
      </c>
      <c r="C665">
        <v>80</v>
      </c>
      <c r="D665">
        <v>46</v>
      </c>
      <c r="E665">
        <v>130</v>
      </c>
      <c r="F665">
        <v>37.9</v>
      </c>
      <c r="G665">
        <v>0.63700000000000001</v>
      </c>
      <c r="H665">
        <v>40</v>
      </c>
      <c r="I665">
        <v>1</v>
      </c>
    </row>
    <row r="666" spans="1:9" x14ac:dyDescent="0.3">
      <c r="A666">
        <v>6</v>
      </c>
      <c r="B666">
        <v>115</v>
      </c>
      <c r="C666">
        <v>60</v>
      </c>
      <c r="D666">
        <v>39</v>
      </c>
      <c r="E666">
        <v>0</v>
      </c>
      <c r="F666">
        <v>33.700000000000003</v>
      </c>
      <c r="G666">
        <v>0.245</v>
      </c>
      <c r="H666">
        <v>40</v>
      </c>
      <c r="I666">
        <v>1</v>
      </c>
    </row>
    <row r="667" spans="1:9" x14ac:dyDescent="0.3">
      <c r="A667">
        <v>1</v>
      </c>
      <c r="B667">
        <v>112</v>
      </c>
      <c r="C667">
        <v>80</v>
      </c>
      <c r="D667">
        <v>45</v>
      </c>
      <c r="E667">
        <v>132</v>
      </c>
      <c r="F667">
        <v>34.799999999999997</v>
      </c>
      <c r="G667">
        <v>0.217</v>
      </c>
      <c r="H667">
        <v>24</v>
      </c>
      <c r="I667">
        <v>0</v>
      </c>
    </row>
    <row r="668" spans="1:9" x14ac:dyDescent="0.3">
      <c r="A668">
        <v>4</v>
      </c>
      <c r="B668">
        <v>145</v>
      </c>
      <c r="C668">
        <v>82</v>
      </c>
      <c r="D668">
        <v>18</v>
      </c>
      <c r="E668">
        <v>0</v>
      </c>
      <c r="F668">
        <v>32.5</v>
      </c>
      <c r="G668">
        <v>0.23499999999999999</v>
      </c>
      <c r="H668">
        <v>70</v>
      </c>
      <c r="I668">
        <v>1</v>
      </c>
    </row>
    <row r="669" spans="1:9" x14ac:dyDescent="0.3">
      <c r="A669">
        <v>10</v>
      </c>
      <c r="B669">
        <v>111</v>
      </c>
      <c r="C669">
        <v>70</v>
      </c>
      <c r="D669">
        <v>27</v>
      </c>
      <c r="E669">
        <v>0</v>
      </c>
      <c r="F669">
        <v>27.5</v>
      </c>
      <c r="G669">
        <v>0.14099999999999999</v>
      </c>
      <c r="H669">
        <v>40</v>
      </c>
      <c r="I669">
        <v>1</v>
      </c>
    </row>
    <row r="670" spans="1:9" x14ac:dyDescent="0.3">
      <c r="A670">
        <v>6</v>
      </c>
      <c r="B670">
        <v>98</v>
      </c>
      <c r="C670">
        <v>58</v>
      </c>
      <c r="D670">
        <v>33</v>
      </c>
      <c r="E670">
        <v>190</v>
      </c>
      <c r="F670">
        <v>34</v>
      </c>
      <c r="G670">
        <v>0.43</v>
      </c>
      <c r="H670">
        <v>43</v>
      </c>
      <c r="I670">
        <v>0</v>
      </c>
    </row>
    <row r="671" spans="1:9" x14ac:dyDescent="0.3">
      <c r="A671">
        <v>9</v>
      </c>
      <c r="B671">
        <v>154</v>
      </c>
      <c r="C671">
        <v>78</v>
      </c>
      <c r="D671">
        <v>30</v>
      </c>
      <c r="E671">
        <v>100</v>
      </c>
      <c r="F671">
        <v>30.9</v>
      </c>
      <c r="G671">
        <v>0.16400000000000001</v>
      </c>
      <c r="H671">
        <v>45</v>
      </c>
      <c r="I671">
        <v>0</v>
      </c>
    </row>
    <row r="672" spans="1:9" x14ac:dyDescent="0.3">
      <c r="A672">
        <v>6</v>
      </c>
      <c r="B672">
        <v>165</v>
      </c>
      <c r="C672">
        <v>68</v>
      </c>
      <c r="D672">
        <v>26</v>
      </c>
      <c r="E672">
        <v>168</v>
      </c>
      <c r="F672">
        <v>33.6</v>
      </c>
      <c r="G672">
        <v>0.63100000000000001</v>
      </c>
      <c r="H672">
        <v>49</v>
      </c>
      <c r="I672">
        <v>0</v>
      </c>
    </row>
    <row r="673" spans="1:9" x14ac:dyDescent="0.3">
      <c r="A673">
        <v>1</v>
      </c>
      <c r="B673">
        <v>99</v>
      </c>
      <c r="C673">
        <v>58</v>
      </c>
      <c r="D673">
        <v>10</v>
      </c>
      <c r="E673">
        <v>0</v>
      </c>
      <c r="F673">
        <v>25.4</v>
      </c>
      <c r="G673">
        <v>0.55100000000000005</v>
      </c>
      <c r="H673">
        <v>21</v>
      </c>
      <c r="I673">
        <v>0</v>
      </c>
    </row>
    <row r="674" spans="1:9" x14ac:dyDescent="0.3">
      <c r="A674">
        <v>10</v>
      </c>
      <c r="B674">
        <v>68</v>
      </c>
      <c r="C674">
        <v>106</v>
      </c>
      <c r="D674">
        <v>23</v>
      </c>
      <c r="E674">
        <v>49</v>
      </c>
      <c r="F674">
        <v>35.5</v>
      </c>
      <c r="G674">
        <v>0.28499999999999998</v>
      </c>
      <c r="H674">
        <v>47</v>
      </c>
      <c r="I674">
        <v>0</v>
      </c>
    </row>
    <row r="675" spans="1:9" x14ac:dyDescent="0.3">
      <c r="A675">
        <v>3</v>
      </c>
      <c r="B675">
        <v>123</v>
      </c>
      <c r="C675">
        <v>100</v>
      </c>
      <c r="D675">
        <v>35</v>
      </c>
      <c r="E675">
        <v>240</v>
      </c>
      <c r="F675">
        <v>57.3</v>
      </c>
      <c r="G675">
        <v>0.88</v>
      </c>
      <c r="H675">
        <v>22</v>
      </c>
      <c r="I675">
        <v>0</v>
      </c>
    </row>
    <row r="676" spans="1:9" x14ac:dyDescent="0.3">
      <c r="A676">
        <v>8</v>
      </c>
      <c r="B676">
        <v>91</v>
      </c>
      <c r="C676">
        <v>82</v>
      </c>
      <c r="D676">
        <v>0</v>
      </c>
      <c r="E676">
        <v>0</v>
      </c>
      <c r="F676">
        <v>35.6</v>
      </c>
      <c r="G676">
        <v>0.58699999999999997</v>
      </c>
      <c r="H676">
        <v>68</v>
      </c>
      <c r="I676">
        <v>0</v>
      </c>
    </row>
    <row r="677" spans="1:9" x14ac:dyDescent="0.3">
      <c r="A677">
        <v>6</v>
      </c>
      <c r="B677">
        <v>195</v>
      </c>
      <c r="C677">
        <v>70</v>
      </c>
      <c r="D677">
        <v>0</v>
      </c>
      <c r="E677">
        <v>0</v>
      </c>
      <c r="F677">
        <v>30.9</v>
      </c>
      <c r="G677">
        <v>0.32800000000000001</v>
      </c>
      <c r="H677">
        <v>31</v>
      </c>
      <c r="I677">
        <v>1</v>
      </c>
    </row>
    <row r="678" spans="1:9" x14ac:dyDescent="0.3">
      <c r="A678">
        <v>9</v>
      </c>
      <c r="B678">
        <v>156</v>
      </c>
      <c r="C678">
        <v>86</v>
      </c>
      <c r="D678">
        <v>0</v>
      </c>
      <c r="E678">
        <v>0</v>
      </c>
      <c r="F678">
        <v>24.8</v>
      </c>
      <c r="G678">
        <v>0.23</v>
      </c>
      <c r="H678">
        <v>53</v>
      </c>
      <c r="I678">
        <v>1</v>
      </c>
    </row>
    <row r="679" spans="1:9" x14ac:dyDescent="0.3">
      <c r="A679">
        <v>0</v>
      </c>
      <c r="B679">
        <v>93</v>
      </c>
      <c r="C679">
        <v>60</v>
      </c>
      <c r="D679">
        <v>0</v>
      </c>
      <c r="E679">
        <v>0</v>
      </c>
      <c r="F679">
        <v>35.299999999999997</v>
      </c>
      <c r="G679">
        <v>0.26300000000000001</v>
      </c>
      <c r="H679">
        <v>25</v>
      </c>
      <c r="I679">
        <v>0</v>
      </c>
    </row>
    <row r="680" spans="1:9" x14ac:dyDescent="0.3">
      <c r="A680">
        <v>3</v>
      </c>
      <c r="B680">
        <v>121</v>
      </c>
      <c r="C680">
        <v>52</v>
      </c>
      <c r="D680">
        <v>0</v>
      </c>
      <c r="E680">
        <v>0</v>
      </c>
      <c r="F680">
        <v>36</v>
      </c>
      <c r="G680">
        <v>0.127</v>
      </c>
      <c r="H680">
        <v>25</v>
      </c>
      <c r="I680">
        <v>1</v>
      </c>
    </row>
    <row r="681" spans="1:9" x14ac:dyDescent="0.3">
      <c r="A681">
        <v>2</v>
      </c>
      <c r="B681">
        <v>101</v>
      </c>
      <c r="C681">
        <v>58</v>
      </c>
      <c r="D681">
        <v>17</v>
      </c>
      <c r="E681">
        <v>265</v>
      </c>
      <c r="F681">
        <v>24.2</v>
      </c>
      <c r="G681">
        <v>0.61399999999999999</v>
      </c>
      <c r="H681">
        <v>23</v>
      </c>
      <c r="I681">
        <v>0</v>
      </c>
    </row>
    <row r="682" spans="1:9" x14ac:dyDescent="0.3">
      <c r="A682">
        <v>2</v>
      </c>
      <c r="B682">
        <v>56</v>
      </c>
      <c r="C682">
        <v>56</v>
      </c>
      <c r="D682">
        <v>28</v>
      </c>
      <c r="E682">
        <v>45</v>
      </c>
      <c r="F682">
        <v>24.2</v>
      </c>
      <c r="G682">
        <v>0.33200000000000002</v>
      </c>
      <c r="H682">
        <v>22</v>
      </c>
      <c r="I682">
        <v>0</v>
      </c>
    </row>
    <row r="683" spans="1:9" x14ac:dyDescent="0.3">
      <c r="A683">
        <v>0</v>
      </c>
      <c r="B683">
        <v>162</v>
      </c>
      <c r="C683">
        <v>76</v>
      </c>
      <c r="D683">
        <v>36</v>
      </c>
      <c r="E683">
        <v>0</v>
      </c>
      <c r="F683">
        <v>49.6</v>
      </c>
      <c r="G683">
        <v>0.36399999999999999</v>
      </c>
      <c r="H683">
        <v>26</v>
      </c>
      <c r="I683">
        <v>1</v>
      </c>
    </row>
    <row r="684" spans="1:9" x14ac:dyDescent="0.3">
      <c r="A684">
        <v>0</v>
      </c>
      <c r="B684">
        <v>95</v>
      </c>
      <c r="C684">
        <v>64</v>
      </c>
      <c r="D684">
        <v>39</v>
      </c>
      <c r="E684">
        <v>105</v>
      </c>
      <c r="F684">
        <v>44.6</v>
      </c>
      <c r="G684">
        <v>0.36599999999999999</v>
      </c>
      <c r="H684">
        <v>22</v>
      </c>
      <c r="I684">
        <v>0</v>
      </c>
    </row>
    <row r="685" spans="1:9" x14ac:dyDescent="0.3">
      <c r="A685">
        <v>4</v>
      </c>
      <c r="B685">
        <v>125</v>
      </c>
      <c r="C685">
        <v>80</v>
      </c>
      <c r="D685">
        <v>0</v>
      </c>
      <c r="E685">
        <v>0</v>
      </c>
      <c r="F685">
        <v>32.299999999999997</v>
      </c>
      <c r="G685">
        <v>0.53600000000000003</v>
      </c>
      <c r="H685">
        <v>27</v>
      </c>
      <c r="I685">
        <v>1</v>
      </c>
    </row>
    <row r="686" spans="1:9" x14ac:dyDescent="0.3">
      <c r="A686">
        <v>5</v>
      </c>
      <c r="B686">
        <v>136</v>
      </c>
      <c r="C686">
        <v>82</v>
      </c>
      <c r="D686">
        <v>0</v>
      </c>
      <c r="E686">
        <v>0</v>
      </c>
      <c r="F686">
        <v>0</v>
      </c>
      <c r="G686">
        <v>0.64</v>
      </c>
      <c r="H686">
        <v>69</v>
      </c>
      <c r="I686">
        <v>0</v>
      </c>
    </row>
    <row r="687" spans="1:9" x14ac:dyDescent="0.3">
      <c r="A687">
        <v>2</v>
      </c>
      <c r="B687">
        <v>129</v>
      </c>
      <c r="C687">
        <v>74</v>
      </c>
      <c r="D687">
        <v>26</v>
      </c>
      <c r="E687">
        <v>205</v>
      </c>
      <c r="F687">
        <v>33.200000000000003</v>
      </c>
      <c r="G687">
        <v>0.59099999999999997</v>
      </c>
      <c r="H687">
        <v>25</v>
      </c>
      <c r="I687">
        <v>0</v>
      </c>
    </row>
    <row r="688" spans="1:9" x14ac:dyDescent="0.3">
      <c r="A688">
        <v>3</v>
      </c>
      <c r="B688">
        <v>130</v>
      </c>
      <c r="C688">
        <v>64</v>
      </c>
      <c r="D688">
        <v>0</v>
      </c>
      <c r="E688">
        <v>0</v>
      </c>
      <c r="F688">
        <v>23.1</v>
      </c>
      <c r="G688">
        <v>0.314</v>
      </c>
      <c r="H688">
        <v>22</v>
      </c>
      <c r="I688">
        <v>0</v>
      </c>
    </row>
    <row r="689" spans="1:9" x14ac:dyDescent="0.3">
      <c r="A689">
        <v>1</v>
      </c>
      <c r="B689">
        <v>107</v>
      </c>
      <c r="C689">
        <v>50</v>
      </c>
      <c r="D689">
        <v>19</v>
      </c>
      <c r="E689">
        <v>0</v>
      </c>
      <c r="F689">
        <v>28.3</v>
      </c>
      <c r="G689">
        <v>0.18099999999999999</v>
      </c>
      <c r="H689">
        <v>29</v>
      </c>
      <c r="I689">
        <v>0</v>
      </c>
    </row>
    <row r="690" spans="1:9" x14ac:dyDescent="0.3">
      <c r="A690">
        <v>1</v>
      </c>
      <c r="B690">
        <v>140</v>
      </c>
      <c r="C690">
        <v>74</v>
      </c>
      <c r="D690">
        <v>26</v>
      </c>
      <c r="E690">
        <v>180</v>
      </c>
      <c r="F690">
        <v>24.1</v>
      </c>
      <c r="G690">
        <v>0.82799999999999996</v>
      </c>
      <c r="H690">
        <v>23</v>
      </c>
      <c r="I690">
        <v>0</v>
      </c>
    </row>
    <row r="691" spans="1:9" x14ac:dyDescent="0.3">
      <c r="A691">
        <v>1</v>
      </c>
      <c r="B691">
        <v>144</v>
      </c>
      <c r="C691">
        <v>82</v>
      </c>
      <c r="D691">
        <v>46</v>
      </c>
      <c r="E691">
        <v>180</v>
      </c>
      <c r="F691">
        <v>46.1</v>
      </c>
      <c r="G691">
        <v>0.33500000000000002</v>
      </c>
      <c r="H691">
        <v>46</v>
      </c>
      <c r="I691">
        <v>1</v>
      </c>
    </row>
    <row r="692" spans="1:9" x14ac:dyDescent="0.3">
      <c r="A692">
        <v>8</v>
      </c>
      <c r="B692">
        <v>107</v>
      </c>
      <c r="C692">
        <v>80</v>
      </c>
      <c r="D692">
        <v>0</v>
      </c>
      <c r="E692">
        <v>0</v>
      </c>
      <c r="F692">
        <v>24.6</v>
      </c>
      <c r="G692">
        <v>0.85599999999999998</v>
      </c>
      <c r="H692">
        <v>34</v>
      </c>
      <c r="I692">
        <v>0</v>
      </c>
    </row>
    <row r="693" spans="1:9" x14ac:dyDescent="0.3">
      <c r="A693">
        <v>13</v>
      </c>
      <c r="B693">
        <v>158</v>
      </c>
      <c r="C693">
        <v>114</v>
      </c>
      <c r="D693">
        <v>0</v>
      </c>
      <c r="E693">
        <v>0</v>
      </c>
      <c r="F693">
        <v>42.3</v>
      </c>
      <c r="G693">
        <v>0.25700000000000001</v>
      </c>
      <c r="H693">
        <v>44</v>
      </c>
      <c r="I693">
        <v>1</v>
      </c>
    </row>
    <row r="694" spans="1:9" x14ac:dyDescent="0.3">
      <c r="A694">
        <v>2</v>
      </c>
      <c r="B694">
        <v>121</v>
      </c>
      <c r="C694">
        <v>70</v>
      </c>
      <c r="D694">
        <v>32</v>
      </c>
      <c r="E694">
        <v>95</v>
      </c>
      <c r="F694">
        <v>39.1</v>
      </c>
      <c r="G694">
        <v>0.88600000000000001</v>
      </c>
      <c r="H694">
        <v>23</v>
      </c>
      <c r="I694">
        <v>0</v>
      </c>
    </row>
    <row r="695" spans="1:9" x14ac:dyDescent="0.3">
      <c r="A695">
        <v>7</v>
      </c>
      <c r="B695">
        <v>129</v>
      </c>
      <c r="C695">
        <v>68</v>
      </c>
      <c r="D695">
        <v>49</v>
      </c>
      <c r="E695">
        <v>125</v>
      </c>
      <c r="F695">
        <v>38.5</v>
      </c>
      <c r="G695">
        <v>0.439</v>
      </c>
      <c r="H695">
        <v>43</v>
      </c>
      <c r="I695">
        <v>1</v>
      </c>
    </row>
    <row r="696" spans="1:9" x14ac:dyDescent="0.3">
      <c r="A696">
        <v>2</v>
      </c>
      <c r="B696">
        <v>90</v>
      </c>
      <c r="C696">
        <v>60</v>
      </c>
      <c r="D696">
        <v>0</v>
      </c>
      <c r="E696">
        <v>0</v>
      </c>
      <c r="F696">
        <v>23.5</v>
      </c>
      <c r="G696">
        <v>0.191</v>
      </c>
      <c r="H696">
        <v>25</v>
      </c>
      <c r="I696">
        <v>0</v>
      </c>
    </row>
    <row r="697" spans="1:9" x14ac:dyDescent="0.3">
      <c r="A697">
        <v>7</v>
      </c>
      <c r="B697">
        <v>142</v>
      </c>
      <c r="C697">
        <v>90</v>
      </c>
      <c r="D697">
        <v>24</v>
      </c>
      <c r="E697">
        <v>480</v>
      </c>
      <c r="F697">
        <v>30.4</v>
      </c>
      <c r="G697">
        <v>0.128</v>
      </c>
      <c r="H697">
        <v>43</v>
      </c>
      <c r="I697">
        <v>1</v>
      </c>
    </row>
    <row r="698" spans="1:9" x14ac:dyDescent="0.3">
      <c r="A698">
        <v>3</v>
      </c>
      <c r="B698">
        <v>169</v>
      </c>
      <c r="C698">
        <v>74</v>
      </c>
      <c r="D698">
        <v>19</v>
      </c>
      <c r="E698">
        <v>125</v>
      </c>
      <c r="F698">
        <v>29.9</v>
      </c>
      <c r="G698">
        <v>0.26800000000000002</v>
      </c>
      <c r="H698">
        <v>31</v>
      </c>
      <c r="I698">
        <v>1</v>
      </c>
    </row>
    <row r="699" spans="1:9" x14ac:dyDescent="0.3">
      <c r="A699">
        <v>0</v>
      </c>
      <c r="B699">
        <v>99</v>
      </c>
      <c r="C699">
        <v>0</v>
      </c>
      <c r="D699">
        <v>0</v>
      </c>
      <c r="E699">
        <v>0</v>
      </c>
      <c r="F699">
        <v>25</v>
      </c>
      <c r="G699">
        <v>0.253</v>
      </c>
      <c r="H699">
        <v>22</v>
      </c>
      <c r="I699">
        <v>0</v>
      </c>
    </row>
    <row r="700" spans="1:9" x14ac:dyDescent="0.3">
      <c r="A700">
        <v>4</v>
      </c>
      <c r="B700">
        <v>127</v>
      </c>
      <c r="C700">
        <v>88</v>
      </c>
      <c r="D700">
        <v>11</v>
      </c>
      <c r="E700">
        <v>155</v>
      </c>
      <c r="F700">
        <v>34.5</v>
      </c>
      <c r="G700">
        <v>0.59799999999999998</v>
      </c>
      <c r="H700">
        <v>28</v>
      </c>
      <c r="I700">
        <v>0</v>
      </c>
    </row>
    <row r="701" spans="1:9" x14ac:dyDescent="0.3">
      <c r="A701">
        <v>4</v>
      </c>
      <c r="B701">
        <v>118</v>
      </c>
      <c r="C701">
        <v>70</v>
      </c>
      <c r="D701">
        <v>0</v>
      </c>
      <c r="E701">
        <v>0</v>
      </c>
      <c r="F701">
        <v>44.5</v>
      </c>
      <c r="G701">
        <v>0.90400000000000003</v>
      </c>
      <c r="H701">
        <v>26</v>
      </c>
      <c r="I701">
        <v>0</v>
      </c>
    </row>
    <row r="702" spans="1:9" x14ac:dyDescent="0.3">
      <c r="A702">
        <v>2</v>
      </c>
      <c r="B702">
        <v>122</v>
      </c>
      <c r="C702">
        <v>76</v>
      </c>
      <c r="D702">
        <v>27</v>
      </c>
      <c r="E702">
        <v>200</v>
      </c>
      <c r="F702">
        <v>35.9</v>
      </c>
      <c r="G702">
        <v>0.48299999999999998</v>
      </c>
      <c r="H702">
        <v>26</v>
      </c>
      <c r="I702">
        <v>0</v>
      </c>
    </row>
    <row r="703" spans="1:9" x14ac:dyDescent="0.3">
      <c r="A703">
        <v>6</v>
      </c>
      <c r="B703">
        <v>125</v>
      </c>
      <c r="C703">
        <v>78</v>
      </c>
      <c r="D703">
        <v>31</v>
      </c>
      <c r="E703">
        <v>0</v>
      </c>
      <c r="F703">
        <v>27.6</v>
      </c>
      <c r="G703">
        <v>0.56499999999999995</v>
      </c>
      <c r="H703">
        <v>49</v>
      </c>
      <c r="I703">
        <v>1</v>
      </c>
    </row>
    <row r="704" spans="1:9" x14ac:dyDescent="0.3">
      <c r="A704">
        <v>1</v>
      </c>
      <c r="B704">
        <v>168</v>
      </c>
      <c r="C704">
        <v>88</v>
      </c>
      <c r="D704">
        <v>29</v>
      </c>
      <c r="E704">
        <v>0</v>
      </c>
      <c r="F704">
        <v>35</v>
      </c>
      <c r="G704">
        <v>0.90500000000000003</v>
      </c>
      <c r="H704">
        <v>52</v>
      </c>
      <c r="I704">
        <v>1</v>
      </c>
    </row>
    <row r="705" spans="1:9" x14ac:dyDescent="0.3">
      <c r="A705">
        <v>2</v>
      </c>
      <c r="B705">
        <v>129</v>
      </c>
      <c r="C705">
        <v>0</v>
      </c>
      <c r="D705">
        <v>0</v>
      </c>
      <c r="E705">
        <v>0</v>
      </c>
      <c r="F705">
        <v>38.5</v>
      </c>
      <c r="G705">
        <v>0.30399999999999999</v>
      </c>
      <c r="H705">
        <v>41</v>
      </c>
      <c r="I705">
        <v>0</v>
      </c>
    </row>
    <row r="706" spans="1:9" x14ac:dyDescent="0.3">
      <c r="A706">
        <v>4</v>
      </c>
      <c r="B706">
        <v>110</v>
      </c>
      <c r="C706">
        <v>76</v>
      </c>
      <c r="D706">
        <v>20</v>
      </c>
      <c r="E706">
        <v>100</v>
      </c>
      <c r="F706">
        <v>28.4</v>
      </c>
      <c r="G706">
        <v>0.11799999999999999</v>
      </c>
      <c r="H706">
        <v>27</v>
      </c>
      <c r="I706">
        <v>0</v>
      </c>
    </row>
    <row r="707" spans="1:9" x14ac:dyDescent="0.3">
      <c r="A707">
        <v>6</v>
      </c>
      <c r="B707">
        <v>80</v>
      </c>
      <c r="C707">
        <v>80</v>
      </c>
      <c r="D707">
        <v>36</v>
      </c>
      <c r="E707">
        <v>0</v>
      </c>
      <c r="F707">
        <v>39.799999999999997</v>
      </c>
      <c r="G707">
        <v>0.17699999999999999</v>
      </c>
      <c r="H707">
        <v>28</v>
      </c>
      <c r="I707">
        <v>0</v>
      </c>
    </row>
    <row r="708" spans="1:9" x14ac:dyDescent="0.3">
      <c r="A708">
        <v>10</v>
      </c>
      <c r="B708">
        <v>115</v>
      </c>
      <c r="C708">
        <v>0</v>
      </c>
      <c r="D708">
        <v>0</v>
      </c>
      <c r="E708">
        <v>0</v>
      </c>
      <c r="F708">
        <v>0</v>
      </c>
      <c r="G708">
        <v>0.26100000000000001</v>
      </c>
      <c r="H708">
        <v>30</v>
      </c>
      <c r="I708">
        <v>1</v>
      </c>
    </row>
    <row r="709" spans="1:9" x14ac:dyDescent="0.3">
      <c r="A709">
        <v>2</v>
      </c>
      <c r="B709">
        <v>127</v>
      </c>
      <c r="C709">
        <v>46</v>
      </c>
      <c r="D709">
        <v>21</v>
      </c>
      <c r="E709">
        <v>335</v>
      </c>
      <c r="F709">
        <v>34.4</v>
      </c>
      <c r="G709">
        <v>0.17599999999999999</v>
      </c>
      <c r="H709">
        <v>22</v>
      </c>
      <c r="I709">
        <v>0</v>
      </c>
    </row>
    <row r="710" spans="1:9" x14ac:dyDescent="0.3">
      <c r="A710">
        <v>9</v>
      </c>
      <c r="B710">
        <v>164</v>
      </c>
      <c r="C710">
        <v>78</v>
      </c>
      <c r="D710">
        <v>0</v>
      </c>
      <c r="E710">
        <v>0</v>
      </c>
      <c r="F710">
        <v>32.799999999999997</v>
      </c>
      <c r="G710">
        <v>0.14799999999999999</v>
      </c>
      <c r="H710">
        <v>45</v>
      </c>
      <c r="I710">
        <v>1</v>
      </c>
    </row>
    <row r="711" spans="1:9" x14ac:dyDescent="0.3">
      <c r="A711">
        <v>2</v>
      </c>
      <c r="B711">
        <v>93</v>
      </c>
      <c r="C711">
        <v>64</v>
      </c>
      <c r="D711">
        <v>32</v>
      </c>
      <c r="E711">
        <v>160</v>
      </c>
      <c r="F711">
        <v>38</v>
      </c>
      <c r="G711">
        <v>0.67400000000000004</v>
      </c>
      <c r="H711">
        <v>23</v>
      </c>
      <c r="I711">
        <v>1</v>
      </c>
    </row>
    <row r="712" spans="1:9" x14ac:dyDescent="0.3">
      <c r="A712">
        <v>3</v>
      </c>
      <c r="B712">
        <v>158</v>
      </c>
      <c r="C712">
        <v>64</v>
      </c>
      <c r="D712">
        <v>13</v>
      </c>
      <c r="E712">
        <v>387</v>
      </c>
      <c r="F712">
        <v>31.2</v>
      </c>
      <c r="G712">
        <v>0.29499999999999998</v>
      </c>
      <c r="H712">
        <v>24</v>
      </c>
      <c r="I712">
        <v>0</v>
      </c>
    </row>
    <row r="713" spans="1:9" x14ac:dyDescent="0.3">
      <c r="A713">
        <v>5</v>
      </c>
      <c r="B713">
        <v>126</v>
      </c>
      <c r="C713">
        <v>78</v>
      </c>
      <c r="D713">
        <v>27</v>
      </c>
      <c r="E713">
        <v>22</v>
      </c>
      <c r="F713">
        <v>29.6</v>
      </c>
      <c r="G713">
        <v>0.439</v>
      </c>
      <c r="H713">
        <v>40</v>
      </c>
      <c r="I713">
        <v>0</v>
      </c>
    </row>
    <row r="714" spans="1:9" x14ac:dyDescent="0.3">
      <c r="A714">
        <v>10</v>
      </c>
      <c r="B714">
        <v>129</v>
      </c>
      <c r="C714">
        <v>62</v>
      </c>
      <c r="D714">
        <v>36</v>
      </c>
      <c r="E714">
        <v>0</v>
      </c>
      <c r="F714">
        <v>41.2</v>
      </c>
      <c r="G714">
        <v>0.441</v>
      </c>
      <c r="H714">
        <v>38</v>
      </c>
      <c r="I714">
        <v>1</v>
      </c>
    </row>
    <row r="715" spans="1:9" x14ac:dyDescent="0.3">
      <c r="A715">
        <v>0</v>
      </c>
      <c r="B715">
        <v>134</v>
      </c>
      <c r="C715">
        <v>58</v>
      </c>
      <c r="D715">
        <v>20</v>
      </c>
      <c r="E715">
        <v>291</v>
      </c>
      <c r="F715">
        <v>26.4</v>
      </c>
      <c r="G715">
        <v>0.35199999999999998</v>
      </c>
      <c r="H715">
        <v>21</v>
      </c>
      <c r="I715">
        <v>0</v>
      </c>
    </row>
    <row r="716" spans="1:9" x14ac:dyDescent="0.3">
      <c r="A716">
        <v>3</v>
      </c>
      <c r="B716">
        <v>102</v>
      </c>
      <c r="C716">
        <v>74</v>
      </c>
      <c r="D716">
        <v>0</v>
      </c>
      <c r="E716">
        <v>0</v>
      </c>
      <c r="F716">
        <v>29.5</v>
      </c>
      <c r="G716">
        <v>0.121</v>
      </c>
      <c r="H716">
        <v>32</v>
      </c>
      <c r="I716">
        <v>0</v>
      </c>
    </row>
    <row r="717" spans="1:9" x14ac:dyDescent="0.3">
      <c r="A717">
        <v>7</v>
      </c>
      <c r="B717">
        <v>187</v>
      </c>
      <c r="C717">
        <v>50</v>
      </c>
      <c r="D717">
        <v>33</v>
      </c>
      <c r="E717">
        <v>392</v>
      </c>
      <c r="F717">
        <v>33.9</v>
      </c>
      <c r="G717">
        <v>0.82599999999999996</v>
      </c>
      <c r="H717">
        <v>34</v>
      </c>
      <c r="I717">
        <v>1</v>
      </c>
    </row>
    <row r="718" spans="1:9" x14ac:dyDescent="0.3">
      <c r="A718">
        <v>3</v>
      </c>
      <c r="B718">
        <v>173</v>
      </c>
      <c r="C718">
        <v>78</v>
      </c>
      <c r="D718">
        <v>39</v>
      </c>
      <c r="E718">
        <v>185</v>
      </c>
      <c r="F718">
        <v>33.799999999999997</v>
      </c>
      <c r="G718">
        <v>0.97</v>
      </c>
      <c r="H718">
        <v>31</v>
      </c>
      <c r="I718">
        <v>1</v>
      </c>
    </row>
    <row r="719" spans="1:9" x14ac:dyDescent="0.3">
      <c r="A719">
        <v>10</v>
      </c>
      <c r="B719">
        <v>94</v>
      </c>
      <c r="C719">
        <v>72</v>
      </c>
      <c r="D719">
        <v>18</v>
      </c>
      <c r="E719">
        <v>0</v>
      </c>
      <c r="F719">
        <v>23.1</v>
      </c>
      <c r="G719">
        <v>0.59499999999999997</v>
      </c>
      <c r="H719">
        <v>56</v>
      </c>
      <c r="I719">
        <v>0</v>
      </c>
    </row>
    <row r="720" spans="1:9" x14ac:dyDescent="0.3">
      <c r="A720">
        <v>1</v>
      </c>
      <c r="B720">
        <v>108</v>
      </c>
      <c r="C720">
        <v>60</v>
      </c>
      <c r="D720">
        <v>46</v>
      </c>
      <c r="E720">
        <v>178</v>
      </c>
      <c r="F720">
        <v>35.5</v>
      </c>
      <c r="G720">
        <v>0.41499999999999998</v>
      </c>
      <c r="H720">
        <v>24</v>
      </c>
      <c r="I720">
        <v>0</v>
      </c>
    </row>
    <row r="721" spans="1:9" x14ac:dyDescent="0.3">
      <c r="A721">
        <v>5</v>
      </c>
      <c r="B721">
        <v>97</v>
      </c>
      <c r="C721">
        <v>76</v>
      </c>
      <c r="D721">
        <v>27</v>
      </c>
      <c r="E721">
        <v>0</v>
      </c>
      <c r="F721">
        <v>35.6</v>
      </c>
      <c r="G721">
        <v>0.378</v>
      </c>
      <c r="H721">
        <v>52</v>
      </c>
      <c r="I721">
        <v>1</v>
      </c>
    </row>
    <row r="722" spans="1:9" x14ac:dyDescent="0.3">
      <c r="A722">
        <v>4</v>
      </c>
      <c r="B722">
        <v>83</v>
      </c>
      <c r="C722">
        <v>86</v>
      </c>
      <c r="D722">
        <v>19</v>
      </c>
      <c r="E722">
        <v>0</v>
      </c>
      <c r="F722">
        <v>29.3</v>
      </c>
      <c r="G722">
        <v>0.317</v>
      </c>
      <c r="H722">
        <v>34</v>
      </c>
      <c r="I722">
        <v>0</v>
      </c>
    </row>
    <row r="723" spans="1:9" x14ac:dyDescent="0.3">
      <c r="A723">
        <v>1</v>
      </c>
      <c r="B723">
        <v>114</v>
      </c>
      <c r="C723">
        <v>66</v>
      </c>
      <c r="D723">
        <v>36</v>
      </c>
      <c r="E723">
        <v>200</v>
      </c>
      <c r="F723">
        <v>38.1</v>
      </c>
      <c r="G723">
        <v>0.28899999999999998</v>
      </c>
      <c r="H723">
        <v>21</v>
      </c>
      <c r="I723">
        <v>0</v>
      </c>
    </row>
    <row r="724" spans="1:9" x14ac:dyDescent="0.3">
      <c r="A724">
        <v>1</v>
      </c>
      <c r="B724">
        <v>149</v>
      </c>
      <c r="C724">
        <v>68</v>
      </c>
      <c r="D724">
        <v>29</v>
      </c>
      <c r="E724">
        <v>127</v>
      </c>
      <c r="F724">
        <v>29.3</v>
      </c>
      <c r="G724">
        <v>0.34899999999999998</v>
      </c>
      <c r="H724">
        <v>42</v>
      </c>
      <c r="I724">
        <v>1</v>
      </c>
    </row>
    <row r="725" spans="1:9" x14ac:dyDescent="0.3">
      <c r="A725">
        <v>5</v>
      </c>
      <c r="B725">
        <v>117</v>
      </c>
      <c r="C725">
        <v>86</v>
      </c>
      <c r="D725">
        <v>30</v>
      </c>
      <c r="E725">
        <v>105</v>
      </c>
      <c r="F725">
        <v>39.1</v>
      </c>
      <c r="G725">
        <v>0.251</v>
      </c>
      <c r="H725">
        <v>42</v>
      </c>
      <c r="I725">
        <v>0</v>
      </c>
    </row>
    <row r="726" spans="1:9" x14ac:dyDescent="0.3">
      <c r="A726">
        <v>1</v>
      </c>
      <c r="B726">
        <v>111</v>
      </c>
      <c r="C726">
        <v>94</v>
      </c>
      <c r="D726">
        <v>0</v>
      </c>
      <c r="E726">
        <v>0</v>
      </c>
      <c r="F726">
        <v>32.799999999999997</v>
      </c>
      <c r="G726">
        <v>0.26500000000000001</v>
      </c>
      <c r="H726">
        <v>45</v>
      </c>
      <c r="I726">
        <v>0</v>
      </c>
    </row>
    <row r="727" spans="1:9" x14ac:dyDescent="0.3">
      <c r="A727">
        <v>4</v>
      </c>
      <c r="B727">
        <v>112</v>
      </c>
      <c r="C727">
        <v>78</v>
      </c>
      <c r="D727">
        <v>40</v>
      </c>
      <c r="E727">
        <v>0</v>
      </c>
      <c r="F727">
        <v>39.4</v>
      </c>
      <c r="G727">
        <v>0.23599999999999999</v>
      </c>
      <c r="H727">
        <v>38</v>
      </c>
      <c r="I727">
        <v>0</v>
      </c>
    </row>
    <row r="728" spans="1:9" x14ac:dyDescent="0.3">
      <c r="A728">
        <v>1</v>
      </c>
      <c r="B728">
        <v>116</v>
      </c>
      <c r="C728">
        <v>78</v>
      </c>
      <c r="D728">
        <v>29</v>
      </c>
      <c r="E728">
        <v>180</v>
      </c>
      <c r="F728">
        <v>36.1</v>
      </c>
      <c r="G728">
        <v>0.496</v>
      </c>
      <c r="H728">
        <v>25</v>
      </c>
      <c r="I728">
        <v>0</v>
      </c>
    </row>
    <row r="729" spans="1:9" x14ac:dyDescent="0.3">
      <c r="A729">
        <v>0</v>
      </c>
      <c r="B729">
        <v>141</v>
      </c>
      <c r="C729">
        <v>84</v>
      </c>
      <c r="D729">
        <v>26</v>
      </c>
      <c r="E729">
        <v>0</v>
      </c>
      <c r="F729">
        <v>32.4</v>
      </c>
      <c r="G729">
        <v>0.433</v>
      </c>
      <c r="H729">
        <v>22</v>
      </c>
      <c r="I729">
        <v>0</v>
      </c>
    </row>
    <row r="730" spans="1:9" x14ac:dyDescent="0.3">
      <c r="A730">
        <v>2</v>
      </c>
      <c r="B730">
        <v>175</v>
      </c>
      <c r="C730">
        <v>88</v>
      </c>
      <c r="D730">
        <v>0</v>
      </c>
      <c r="E730">
        <v>0</v>
      </c>
      <c r="F730">
        <v>22.9</v>
      </c>
      <c r="G730">
        <v>0.32600000000000001</v>
      </c>
      <c r="H730">
        <v>22</v>
      </c>
      <c r="I730">
        <v>0</v>
      </c>
    </row>
    <row r="731" spans="1:9" x14ac:dyDescent="0.3">
      <c r="A731">
        <v>2</v>
      </c>
      <c r="B731">
        <v>92</v>
      </c>
      <c r="C731">
        <v>52</v>
      </c>
      <c r="D731">
        <v>0</v>
      </c>
      <c r="E731">
        <v>0</v>
      </c>
      <c r="F731">
        <v>30.1</v>
      </c>
      <c r="G731">
        <v>0.14099999999999999</v>
      </c>
      <c r="H731">
        <v>22</v>
      </c>
      <c r="I731">
        <v>0</v>
      </c>
    </row>
    <row r="732" spans="1:9" x14ac:dyDescent="0.3">
      <c r="A732">
        <v>3</v>
      </c>
      <c r="B732">
        <v>130</v>
      </c>
      <c r="C732">
        <v>78</v>
      </c>
      <c r="D732">
        <v>23</v>
      </c>
      <c r="E732">
        <v>79</v>
      </c>
      <c r="F732">
        <v>28.4</v>
      </c>
      <c r="G732">
        <v>0.32300000000000001</v>
      </c>
      <c r="H732">
        <v>34</v>
      </c>
      <c r="I732">
        <v>1</v>
      </c>
    </row>
    <row r="733" spans="1:9" x14ac:dyDescent="0.3">
      <c r="A733">
        <v>8</v>
      </c>
      <c r="B733">
        <v>120</v>
      </c>
      <c r="C733">
        <v>86</v>
      </c>
      <c r="D733">
        <v>0</v>
      </c>
      <c r="E733">
        <v>0</v>
      </c>
      <c r="F733">
        <v>28.4</v>
      </c>
      <c r="G733">
        <v>0.25900000000000001</v>
      </c>
      <c r="H733">
        <v>22</v>
      </c>
      <c r="I733">
        <v>1</v>
      </c>
    </row>
    <row r="734" spans="1:9" x14ac:dyDescent="0.3">
      <c r="A734">
        <v>2</v>
      </c>
      <c r="B734">
        <v>174</v>
      </c>
      <c r="C734">
        <v>88</v>
      </c>
      <c r="D734">
        <v>37</v>
      </c>
      <c r="E734">
        <v>120</v>
      </c>
      <c r="F734">
        <v>44.5</v>
      </c>
      <c r="G734">
        <v>0.64600000000000002</v>
      </c>
      <c r="H734">
        <v>24</v>
      </c>
      <c r="I734">
        <v>1</v>
      </c>
    </row>
    <row r="735" spans="1:9" x14ac:dyDescent="0.3">
      <c r="A735">
        <v>2</v>
      </c>
      <c r="B735">
        <v>106</v>
      </c>
      <c r="C735">
        <v>56</v>
      </c>
      <c r="D735">
        <v>27</v>
      </c>
      <c r="E735">
        <v>165</v>
      </c>
      <c r="F735">
        <v>29</v>
      </c>
      <c r="G735">
        <v>0.42599999999999999</v>
      </c>
      <c r="H735">
        <v>22</v>
      </c>
      <c r="I735">
        <v>0</v>
      </c>
    </row>
    <row r="736" spans="1:9" x14ac:dyDescent="0.3">
      <c r="A736">
        <v>2</v>
      </c>
      <c r="B736">
        <v>105</v>
      </c>
      <c r="C736">
        <v>75</v>
      </c>
      <c r="D736">
        <v>0</v>
      </c>
      <c r="E736">
        <v>0</v>
      </c>
      <c r="F736">
        <v>23.3</v>
      </c>
      <c r="G736">
        <v>0.56000000000000005</v>
      </c>
      <c r="H736">
        <v>53</v>
      </c>
      <c r="I736">
        <v>0</v>
      </c>
    </row>
    <row r="737" spans="1:9" x14ac:dyDescent="0.3">
      <c r="A737">
        <v>4</v>
      </c>
      <c r="B737">
        <v>95</v>
      </c>
      <c r="C737">
        <v>60</v>
      </c>
      <c r="D737">
        <v>32</v>
      </c>
      <c r="E737">
        <v>0</v>
      </c>
      <c r="F737">
        <v>35.4</v>
      </c>
      <c r="G737">
        <v>0.28399999999999997</v>
      </c>
      <c r="H737">
        <v>28</v>
      </c>
      <c r="I737">
        <v>0</v>
      </c>
    </row>
    <row r="738" spans="1:9" x14ac:dyDescent="0.3">
      <c r="A738">
        <v>0</v>
      </c>
      <c r="B738">
        <v>126</v>
      </c>
      <c r="C738">
        <v>86</v>
      </c>
      <c r="D738">
        <v>27</v>
      </c>
      <c r="E738">
        <v>120</v>
      </c>
      <c r="F738">
        <v>27.4</v>
      </c>
      <c r="G738">
        <v>0.51500000000000001</v>
      </c>
      <c r="H738">
        <v>21</v>
      </c>
      <c r="I738">
        <v>0</v>
      </c>
    </row>
    <row r="739" spans="1:9" x14ac:dyDescent="0.3">
      <c r="A739">
        <v>8</v>
      </c>
      <c r="B739">
        <v>65</v>
      </c>
      <c r="C739">
        <v>72</v>
      </c>
      <c r="D739">
        <v>23</v>
      </c>
      <c r="E739">
        <v>0</v>
      </c>
      <c r="F739">
        <v>32</v>
      </c>
      <c r="G739">
        <v>0.6</v>
      </c>
      <c r="H739">
        <v>42</v>
      </c>
      <c r="I739">
        <v>0</v>
      </c>
    </row>
    <row r="740" spans="1:9" x14ac:dyDescent="0.3">
      <c r="A740">
        <v>2</v>
      </c>
      <c r="B740">
        <v>99</v>
      </c>
      <c r="C740">
        <v>60</v>
      </c>
      <c r="D740">
        <v>17</v>
      </c>
      <c r="E740">
        <v>160</v>
      </c>
      <c r="F740">
        <v>36.6</v>
      </c>
      <c r="G740">
        <v>0.45300000000000001</v>
      </c>
      <c r="H740">
        <v>21</v>
      </c>
      <c r="I740">
        <v>0</v>
      </c>
    </row>
    <row r="741" spans="1:9" x14ac:dyDescent="0.3">
      <c r="A741">
        <v>1</v>
      </c>
      <c r="B741">
        <v>102</v>
      </c>
      <c r="C741">
        <v>74</v>
      </c>
      <c r="D741">
        <v>0</v>
      </c>
      <c r="E741">
        <v>0</v>
      </c>
      <c r="F741">
        <v>39.5</v>
      </c>
      <c r="G741">
        <v>0.29299999999999998</v>
      </c>
      <c r="H741">
        <v>42</v>
      </c>
      <c r="I741">
        <v>1</v>
      </c>
    </row>
    <row r="742" spans="1:9" x14ac:dyDescent="0.3">
      <c r="A742">
        <v>11</v>
      </c>
      <c r="B742">
        <v>120</v>
      </c>
      <c r="C742">
        <v>80</v>
      </c>
      <c r="D742">
        <v>37</v>
      </c>
      <c r="E742">
        <v>150</v>
      </c>
      <c r="F742">
        <v>42.3</v>
      </c>
      <c r="G742">
        <v>0.78500000000000003</v>
      </c>
      <c r="H742">
        <v>48</v>
      </c>
      <c r="I742">
        <v>1</v>
      </c>
    </row>
    <row r="743" spans="1:9" x14ac:dyDescent="0.3">
      <c r="A743">
        <v>3</v>
      </c>
      <c r="B743">
        <v>102</v>
      </c>
      <c r="C743">
        <v>44</v>
      </c>
      <c r="D743">
        <v>20</v>
      </c>
      <c r="E743">
        <v>94</v>
      </c>
      <c r="F743">
        <v>30.8</v>
      </c>
      <c r="G743">
        <v>0.4</v>
      </c>
      <c r="H743">
        <v>26</v>
      </c>
      <c r="I743">
        <v>0</v>
      </c>
    </row>
    <row r="744" spans="1:9" x14ac:dyDescent="0.3">
      <c r="A744">
        <v>1</v>
      </c>
      <c r="B744">
        <v>109</v>
      </c>
      <c r="C744">
        <v>58</v>
      </c>
      <c r="D744">
        <v>18</v>
      </c>
      <c r="E744">
        <v>116</v>
      </c>
      <c r="F744">
        <v>28.5</v>
      </c>
      <c r="G744">
        <v>0.219</v>
      </c>
      <c r="H744">
        <v>22</v>
      </c>
      <c r="I744">
        <v>0</v>
      </c>
    </row>
    <row r="745" spans="1:9" x14ac:dyDescent="0.3">
      <c r="A745">
        <v>9</v>
      </c>
      <c r="B745">
        <v>140</v>
      </c>
      <c r="C745">
        <v>94</v>
      </c>
      <c r="D745">
        <v>0</v>
      </c>
      <c r="E745">
        <v>0</v>
      </c>
      <c r="F745">
        <v>32.700000000000003</v>
      </c>
      <c r="G745">
        <v>0.73399999999999999</v>
      </c>
      <c r="H745">
        <v>45</v>
      </c>
      <c r="I745">
        <v>1</v>
      </c>
    </row>
    <row r="746" spans="1:9" x14ac:dyDescent="0.3">
      <c r="A746">
        <v>13</v>
      </c>
      <c r="B746">
        <v>153</v>
      </c>
      <c r="C746">
        <v>88</v>
      </c>
      <c r="D746">
        <v>37</v>
      </c>
      <c r="E746">
        <v>140</v>
      </c>
      <c r="F746">
        <v>40.6</v>
      </c>
      <c r="G746">
        <v>1.1739999999999999</v>
      </c>
      <c r="H746">
        <v>39</v>
      </c>
      <c r="I746">
        <v>0</v>
      </c>
    </row>
    <row r="747" spans="1:9" x14ac:dyDescent="0.3">
      <c r="A747">
        <v>12</v>
      </c>
      <c r="B747">
        <v>100</v>
      </c>
      <c r="C747">
        <v>84</v>
      </c>
      <c r="D747">
        <v>33</v>
      </c>
      <c r="E747">
        <v>105</v>
      </c>
      <c r="F747">
        <v>30</v>
      </c>
      <c r="G747">
        <v>0.48799999999999999</v>
      </c>
      <c r="H747">
        <v>46</v>
      </c>
      <c r="I747">
        <v>0</v>
      </c>
    </row>
    <row r="748" spans="1:9" x14ac:dyDescent="0.3">
      <c r="A748">
        <v>1</v>
      </c>
      <c r="B748">
        <v>147</v>
      </c>
      <c r="C748">
        <v>94</v>
      </c>
      <c r="D748">
        <v>41</v>
      </c>
      <c r="E748">
        <v>0</v>
      </c>
      <c r="F748">
        <v>49.3</v>
      </c>
      <c r="G748">
        <v>0.35799999999999998</v>
      </c>
      <c r="H748">
        <v>27</v>
      </c>
      <c r="I748">
        <v>1</v>
      </c>
    </row>
    <row r="749" spans="1:9" x14ac:dyDescent="0.3">
      <c r="A749">
        <v>1</v>
      </c>
      <c r="B749">
        <v>81</v>
      </c>
      <c r="C749">
        <v>74</v>
      </c>
      <c r="D749">
        <v>41</v>
      </c>
      <c r="E749">
        <v>57</v>
      </c>
      <c r="F749">
        <v>46.3</v>
      </c>
      <c r="G749">
        <v>1.0960000000000001</v>
      </c>
      <c r="H749">
        <v>32</v>
      </c>
      <c r="I749">
        <v>0</v>
      </c>
    </row>
    <row r="750" spans="1:9" x14ac:dyDescent="0.3">
      <c r="A750">
        <v>3</v>
      </c>
      <c r="B750">
        <v>187</v>
      </c>
      <c r="C750">
        <v>70</v>
      </c>
      <c r="D750">
        <v>22</v>
      </c>
      <c r="E750">
        <v>200</v>
      </c>
      <c r="F750">
        <v>36.4</v>
      </c>
      <c r="G750">
        <v>0.40799999999999997</v>
      </c>
      <c r="H750">
        <v>36</v>
      </c>
      <c r="I750">
        <v>1</v>
      </c>
    </row>
    <row r="751" spans="1:9" x14ac:dyDescent="0.3">
      <c r="A751">
        <v>6</v>
      </c>
      <c r="B751">
        <v>162</v>
      </c>
      <c r="C751">
        <v>62</v>
      </c>
      <c r="D751">
        <v>0</v>
      </c>
      <c r="E751">
        <v>0</v>
      </c>
      <c r="F751">
        <v>24.3</v>
      </c>
      <c r="G751">
        <v>0.17799999999999999</v>
      </c>
      <c r="H751">
        <v>50</v>
      </c>
      <c r="I751">
        <v>1</v>
      </c>
    </row>
    <row r="752" spans="1:9" x14ac:dyDescent="0.3">
      <c r="A752">
        <v>4</v>
      </c>
      <c r="B752">
        <v>136</v>
      </c>
      <c r="C752">
        <v>70</v>
      </c>
      <c r="D752">
        <v>0</v>
      </c>
      <c r="E752">
        <v>0</v>
      </c>
      <c r="F752">
        <v>31.2</v>
      </c>
      <c r="G752">
        <v>1.1819999999999999</v>
      </c>
      <c r="H752">
        <v>22</v>
      </c>
      <c r="I752">
        <v>1</v>
      </c>
    </row>
    <row r="753" spans="1:9" x14ac:dyDescent="0.3">
      <c r="A753">
        <v>1</v>
      </c>
      <c r="B753">
        <v>121</v>
      </c>
      <c r="C753">
        <v>78</v>
      </c>
      <c r="D753">
        <v>39</v>
      </c>
      <c r="E753">
        <v>74</v>
      </c>
      <c r="F753">
        <v>39</v>
      </c>
      <c r="G753">
        <v>0.26100000000000001</v>
      </c>
      <c r="H753">
        <v>28</v>
      </c>
      <c r="I753">
        <v>0</v>
      </c>
    </row>
    <row r="754" spans="1:9" x14ac:dyDescent="0.3">
      <c r="A754">
        <v>3</v>
      </c>
      <c r="B754">
        <v>108</v>
      </c>
      <c r="C754">
        <v>62</v>
      </c>
      <c r="D754">
        <v>24</v>
      </c>
      <c r="E754">
        <v>0</v>
      </c>
      <c r="F754">
        <v>26</v>
      </c>
      <c r="G754">
        <v>0.223</v>
      </c>
      <c r="H754">
        <v>25</v>
      </c>
      <c r="I754">
        <v>0</v>
      </c>
    </row>
    <row r="755" spans="1:9" x14ac:dyDescent="0.3">
      <c r="A755">
        <v>0</v>
      </c>
      <c r="B755">
        <v>181</v>
      </c>
      <c r="C755">
        <v>88</v>
      </c>
      <c r="D755">
        <v>44</v>
      </c>
      <c r="E755">
        <v>510</v>
      </c>
      <c r="F755">
        <v>43.3</v>
      </c>
      <c r="G755">
        <v>0.222</v>
      </c>
      <c r="H755">
        <v>26</v>
      </c>
      <c r="I755">
        <v>1</v>
      </c>
    </row>
    <row r="756" spans="1:9" x14ac:dyDescent="0.3">
      <c r="A756">
        <v>8</v>
      </c>
      <c r="B756">
        <v>154</v>
      </c>
      <c r="C756">
        <v>78</v>
      </c>
      <c r="D756">
        <v>32</v>
      </c>
      <c r="E756">
        <v>0</v>
      </c>
      <c r="F756">
        <v>32.4</v>
      </c>
      <c r="G756">
        <v>0.443</v>
      </c>
      <c r="H756">
        <v>45</v>
      </c>
      <c r="I756">
        <v>1</v>
      </c>
    </row>
    <row r="757" spans="1:9" x14ac:dyDescent="0.3">
      <c r="A757">
        <v>1</v>
      </c>
      <c r="B757">
        <v>128</v>
      </c>
      <c r="C757">
        <v>88</v>
      </c>
      <c r="D757">
        <v>39</v>
      </c>
      <c r="E757">
        <v>110</v>
      </c>
      <c r="F757">
        <v>36.5</v>
      </c>
      <c r="G757">
        <v>1.0569999999999999</v>
      </c>
      <c r="H757">
        <v>37</v>
      </c>
      <c r="I757">
        <v>1</v>
      </c>
    </row>
    <row r="758" spans="1:9" x14ac:dyDescent="0.3">
      <c r="A758">
        <v>7</v>
      </c>
      <c r="B758">
        <v>137</v>
      </c>
      <c r="C758">
        <v>90</v>
      </c>
      <c r="D758">
        <v>41</v>
      </c>
      <c r="E758">
        <v>0</v>
      </c>
      <c r="F758">
        <v>32</v>
      </c>
      <c r="G758">
        <v>0.39100000000000001</v>
      </c>
      <c r="H758">
        <v>39</v>
      </c>
      <c r="I758">
        <v>0</v>
      </c>
    </row>
    <row r="759" spans="1:9" x14ac:dyDescent="0.3">
      <c r="A759">
        <v>0</v>
      </c>
      <c r="B759">
        <v>123</v>
      </c>
      <c r="C759">
        <v>72</v>
      </c>
      <c r="D759">
        <v>0</v>
      </c>
      <c r="E759">
        <v>0</v>
      </c>
      <c r="F759">
        <v>36.299999999999997</v>
      </c>
      <c r="G759">
        <v>0.25800000000000001</v>
      </c>
      <c r="H759">
        <v>52</v>
      </c>
      <c r="I759">
        <v>1</v>
      </c>
    </row>
    <row r="760" spans="1:9" x14ac:dyDescent="0.3">
      <c r="A760">
        <v>1</v>
      </c>
      <c r="B760">
        <v>106</v>
      </c>
      <c r="C760">
        <v>76</v>
      </c>
      <c r="D760">
        <v>0</v>
      </c>
      <c r="E760">
        <v>0</v>
      </c>
      <c r="F760">
        <v>37.5</v>
      </c>
      <c r="G760">
        <v>0.19700000000000001</v>
      </c>
      <c r="H760">
        <v>26</v>
      </c>
      <c r="I760">
        <v>0</v>
      </c>
    </row>
    <row r="761" spans="1:9" x14ac:dyDescent="0.3">
      <c r="A761">
        <v>6</v>
      </c>
      <c r="B761">
        <v>190</v>
      </c>
      <c r="C761">
        <v>92</v>
      </c>
      <c r="D761">
        <v>0</v>
      </c>
      <c r="E761">
        <v>0</v>
      </c>
      <c r="F761">
        <v>35.5</v>
      </c>
      <c r="G761">
        <v>0.27800000000000002</v>
      </c>
      <c r="H761">
        <v>66</v>
      </c>
      <c r="I761">
        <v>1</v>
      </c>
    </row>
    <row r="762" spans="1:9" x14ac:dyDescent="0.3">
      <c r="A762">
        <v>2</v>
      </c>
      <c r="B762">
        <v>88</v>
      </c>
      <c r="C762">
        <v>58</v>
      </c>
      <c r="D762">
        <v>26</v>
      </c>
      <c r="E762">
        <v>16</v>
      </c>
      <c r="F762">
        <v>28.4</v>
      </c>
      <c r="G762">
        <v>0.76600000000000001</v>
      </c>
      <c r="H762">
        <v>22</v>
      </c>
      <c r="I762">
        <v>0</v>
      </c>
    </row>
    <row r="763" spans="1:9" x14ac:dyDescent="0.3">
      <c r="A763">
        <v>9</v>
      </c>
      <c r="B763">
        <v>170</v>
      </c>
      <c r="C763">
        <v>74</v>
      </c>
      <c r="D763">
        <v>31</v>
      </c>
      <c r="E763">
        <v>0</v>
      </c>
      <c r="F763">
        <v>44</v>
      </c>
      <c r="G763">
        <v>0.40300000000000002</v>
      </c>
      <c r="H763">
        <v>43</v>
      </c>
      <c r="I763">
        <v>1</v>
      </c>
    </row>
    <row r="764" spans="1:9" x14ac:dyDescent="0.3">
      <c r="A764">
        <v>9</v>
      </c>
      <c r="B764">
        <v>89</v>
      </c>
      <c r="C764">
        <v>62</v>
      </c>
      <c r="D764">
        <v>0</v>
      </c>
      <c r="E764">
        <v>0</v>
      </c>
      <c r="F764">
        <v>22.5</v>
      </c>
      <c r="G764">
        <v>0.14199999999999999</v>
      </c>
      <c r="H764">
        <v>33</v>
      </c>
      <c r="I764">
        <v>0</v>
      </c>
    </row>
    <row r="765" spans="1:9" x14ac:dyDescent="0.3">
      <c r="A765">
        <v>10</v>
      </c>
      <c r="B765">
        <v>101</v>
      </c>
      <c r="C765">
        <v>76</v>
      </c>
      <c r="D765">
        <v>48</v>
      </c>
      <c r="E765">
        <v>180</v>
      </c>
      <c r="F765">
        <v>32.9</v>
      </c>
      <c r="G765">
        <v>0.17100000000000001</v>
      </c>
      <c r="H765">
        <v>63</v>
      </c>
      <c r="I765">
        <v>0</v>
      </c>
    </row>
    <row r="766" spans="1:9" x14ac:dyDescent="0.3">
      <c r="A766">
        <v>2</v>
      </c>
      <c r="B766">
        <v>122</v>
      </c>
      <c r="C766">
        <v>70</v>
      </c>
      <c r="D766">
        <v>27</v>
      </c>
      <c r="E766">
        <v>0</v>
      </c>
      <c r="F766">
        <v>36.799999999999997</v>
      </c>
      <c r="G766">
        <v>0.34</v>
      </c>
      <c r="H766">
        <v>27</v>
      </c>
      <c r="I766">
        <v>0</v>
      </c>
    </row>
    <row r="767" spans="1:9" x14ac:dyDescent="0.3">
      <c r="A767">
        <v>5</v>
      </c>
      <c r="B767">
        <v>121</v>
      </c>
      <c r="C767">
        <v>72</v>
      </c>
      <c r="D767">
        <v>23</v>
      </c>
      <c r="E767">
        <v>112</v>
      </c>
      <c r="F767">
        <v>26.2</v>
      </c>
      <c r="G767">
        <v>0.245</v>
      </c>
      <c r="H767">
        <v>30</v>
      </c>
      <c r="I767">
        <v>0</v>
      </c>
    </row>
    <row r="768" spans="1:9" x14ac:dyDescent="0.3">
      <c r="A768">
        <v>1</v>
      </c>
      <c r="B768">
        <v>126</v>
      </c>
      <c r="C768">
        <v>60</v>
      </c>
      <c r="D768">
        <v>0</v>
      </c>
      <c r="E768">
        <v>0</v>
      </c>
      <c r="F768">
        <v>30.1</v>
      </c>
      <c r="G768">
        <v>0.34899999999999998</v>
      </c>
      <c r="H768">
        <v>47</v>
      </c>
      <c r="I768">
        <v>1</v>
      </c>
    </row>
    <row r="769" spans="1:9" x14ac:dyDescent="0.3">
      <c r="A769">
        <v>1</v>
      </c>
      <c r="B769">
        <v>93</v>
      </c>
      <c r="C769">
        <v>70</v>
      </c>
      <c r="D769">
        <v>31</v>
      </c>
      <c r="E769">
        <v>0</v>
      </c>
      <c r="F769">
        <v>30.4</v>
      </c>
      <c r="G769">
        <v>0.315</v>
      </c>
      <c r="H769">
        <v>23</v>
      </c>
      <c r="I769">
        <v>0</v>
      </c>
    </row>
  </sheetData>
  <pageMargins left="0.7" right="0.7" top="0.75" bottom="0.75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769"/>
  <sheetViews>
    <sheetView zoomScaleNormal="100" workbookViewId="0">
      <selection activeCell="N8" sqref="N8"/>
    </sheetView>
  </sheetViews>
  <sheetFormatPr defaultColWidth="8.6640625" defaultRowHeight="14.4" x14ac:dyDescent="0.3"/>
  <cols>
    <col min="1" max="1" width="10.6640625" customWidth="1"/>
    <col min="2" max="2" width="11.6640625" customWidth="1"/>
    <col min="3" max="3" width="12.6640625" customWidth="1"/>
    <col min="4" max="4" width="10.5546875" customWidth="1"/>
    <col min="5" max="5" width="22.44140625" customWidth="1"/>
    <col min="6" max="6" width="4" customWidth="1"/>
    <col min="8" max="8" width="24" style="2" customWidth="1"/>
    <col min="9" max="9" width="27.109375" customWidth="1"/>
  </cols>
  <sheetData>
    <row r="1" spans="1:9" s="18" customFormat="1" x14ac:dyDescent="0.3">
      <c r="A1" s="16" t="s">
        <v>0</v>
      </c>
      <c r="B1" s="16" t="s">
        <v>1</v>
      </c>
      <c r="C1" s="16" t="s">
        <v>2</v>
      </c>
      <c r="D1" s="16" t="s">
        <v>5</v>
      </c>
      <c r="E1" s="16" t="s">
        <v>6</v>
      </c>
      <c r="F1" s="16" t="s">
        <v>7</v>
      </c>
      <c r="G1" s="16" t="s">
        <v>8</v>
      </c>
      <c r="H1" s="17" t="s">
        <v>34</v>
      </c>
      <c r="I1" s="17" t="s">
        <v>35</v>
      </c>
    </row>
    <row r="2" spans="1:9" x14ac:dyDescent="0.3">
      <c r="A2" s="14">
        <v>6</v>
      </c>
      <c r="B2" s="14">
        <v>148</v>
      </c>
      <c r="C2" s="14">
        <v>72</v>
      </c>
      <c r="D2" s="14">
        <v>33.6</v>
      </c>
      <c r="E2" s="14">
        <v>0.627</v>
      </c>
      <c r="F2" s="14">
        <v>50</v>
      </c>
      <c r="G2" s="14">
        <v>1</v>
      </c>
      <c r="H2" s="14"/>
      <c r="I2" s="14">
        <v>148</v>
      </c>
    </row>
    <row r="3" spans="1:9" x14ac:dyDescent="0.3">
      <c r="A3" s="14">
        <v>1</v>
      </c>
      <c r="B3" s="14">
        <v>85</v>
      </c>
      <c r="C3" s="14">
        <v>66</v>
      </c>
      <c r="D3" s="14">
        <v>26.6</v>
      </c>
      <c r="E3" s="14">
        <v>0.35099999999999998</v>
      </c>
      <c r="F3" s="14">
        <v>31</v>
      </c>
      <c r="G3" s="14">
        <v>0</v>
      </c>
      <c r="H3" s="14">
        <v>85</v>
      </c>
      <c r="I3" s="14"/>
    </row>
    <row r="4" spans="1:9" x14ac:dyDescent="0.3">
      <c r="A4" s="14">
        <v>8</v>
      </c>
      <c r="B4" s="14">
        <v>183</v>
      </c>
      <c r="C4" s="14">
        <v>64</v>
      </c>
      <c r="D4" s="14">
        <v>23.3</v>
      </c>
      <c r="E4" s="14">
        <v>0.67200000000000004</v>
      </c>
      <c r="F4" s="14">
        <v>32</v>
      </c>
      <c r="G4" s="14">
        <v>1</v>
      </c>
      <c r="H4" s="14" t="s">
        <v>36</v>
      </c>
      <c r="I4" s="14">
        <v>183</v>
      </c>
    </row>
    <row r="5" spans="1:9" x14ac:dyDescent="0.3">
      <c r="A5" s="14">
        <v>1</v>
      </c>
      <c r="B5" s="14">
        <v>89</v>
      </c>
      <c r="C5" s="14">
        <v>66</v>
      </c>
      <c r="D5" s="14">
        <v>28.1</v>
      </c>
      <c r="E5" s="14">
        <v>0.16700000000000001</v>
      </c>
      <c r="F5" s="14">
        <v>21</v>
      </c>
      <c r="G5" s="14">
        <v>0</v>
      </c>
      <c r="H5" s="14">
        <v>89</v>
      </c>
      <c r="I5" s="14"/>
    </row>
    <row r="6" spans="1:9" x14ac:dyDescent="0.3">
      <c r="A6" s="14">
        <v>0</v>
      </c>
      <c r="B6" s="14">
        <v>137</v>
      </c>
      <c r="C6" s="14">
        <v>40</v>
      </c>
      <c r="D6" s="14">
        <v>43.1</v>
      </c>
      <c r="E6" s="14">
        <v>2.2879999999999998</v>
      </c>
      <c r="F6" s="14">
        <v>33</v>
      </c>
      <c r="G6" s="14">
        <v>1</v>
      </c>
      <c r="H6" s="14" t="s">
        <v>36</v>
      </c>
      <c r="I6" s="14">
        <v>137</v>
      </c>
    </row>
    <row r="7" spans="1:9" x14ac:dyDescent="0.3">
      <c r="A7" s="14">
        <v>5</v>
      </c>
      <c r="B7" s="14">
        <v>116</v>
      </c>
      <c r="C7" s="14">
        <v>74</v>
      </c>
      <c r="D7" s="14">
        <v>25.6</v>
      </c>
      <c r="E7" s="14">
        <v>0.20100000000000001</v>
      </c>
      <c r="F7" s="14">
        <v>30</v>
      </c>
      <c r="G7" s="14">
        <v>0</v>
      </c>
      <c r="H7" s="14">
        <v>116</v>
      </c>
      <c r="I7" s="14"/>
    </row>
    <row r="8" spans="1:9" x14ac:dyDescent="0.3">
      <c r="A8" s="14">
        <v>3</v>
      </c>
      <c r="B8" s="14">
        <v>78</v>
      </c>
      <c r="C8" s="14">
        <v>50</v>
      </c>
      <c r="D8" s="14">
        <v>31</v>
      </c>
      <c r="E8" s="14">
        <v>0.248</v>
      </c>
      <c r="F8" s="14">
        <v>26</v>
      </c>
      <c r="G8" s="14">
        <v>1</v>
      </c>
      <c r="H8" s="14" t="s">
        <v>36</v>
      </c>
      <c r="I8" s="14">
        <v>78</v>
      </c>
    </row>
    <row r="9" spans="1:9" x14ac:dyDescent="0.3">
      <c r="A9" s="14">
        <v>10</v>
      </c>
      <c r="B9" s="14">
        <v>115</v>
      </c>
      <c r="C9" s="14">
        <v>72</v>
      </c>
      <c r="D9" s="14">
        <v>35.299999999999997</v>
      </c>
      <c r="E9" s="14">
        <v>0.13400000000000001</v>
      </c>
      <c r="F9" s="14">
        <v>29</v>
      </c>
      <c r="G9" s="14">
        <v>0</v>
      </c>
      <c r="H9" s="14">
        <v>115</v>
      </c>
      <c r="I9" s="14"/>
    </row>
    <row r="10" spans="1:9" x14ac:dyDescent="0.3">
      <c r="A10" s="14">
        <v>2</v>
      </c>
      <c r="B10" s="14">
        <v>197</v>
      </c>
      <c r="C10" s="14">
        <v>70</v>
      </c>
      <c r="D10" s="14">
        <v>30.5</v>
      </c>
      <c r="E10" s="14">
        <v>0.158</v>
      </c>
      <c r="F10" s="14">
        <v>53</v>
      </c>
      <c r="G10" s="14">
        <v>1</v>
      </c>
      <c r="H10" s="14" t="s">
        <v>36</v>
      </c>
      <c r="I10" s="14">
        <v>197</v>
      </c>
    </row>
    <row r="11" spans="1:9" x14ac:dyDescent="0.3">
      <c r="A11" s="14">
        <v>8</v>
      </c>
      <c r="B11" s="14">
        <v>125</v>
      </c>
      <c r="C11" s="14">
        <v>96</v>
      </c>
      <c r="D11" s="14">
        <v>32</v>
      </c>
      <c r="E11" s="14">
        <v>0.23200000000000001</v>
      </c>
      <c r="F11" s="14">
        <v>54</v>
      </c>
      <c r="G11" s="14">
        <v>1</v>
      </c>
      <c r="H11" s="14" t="s">
        <v>36</v>
      </c>
      <c r="I11" s="14">
        <v>125</v>
      </c>
    </row>
    <row r="12" spans="1:9" x14ac:dyDescent="0.3">
      <c r="A12" s="14">
        <v>4</v>
      </c>
      <c r="B12" s="14">
        <v>110</v>
      </c>
      <c r="C12" s="14">
        <v>92</v>
      </c>
      <c r="D12" s="14">
        <v>37.6</v>
      </c>
      <c r="E12" s="14">
        <v>0.191</v>
      </c>
      <c r="F12" s="14">
        <v>30</v>
      </c>
      <c r="G12" s="14">
        <v>0</v>
      </c>
      <c r="H12" s="14">
        <v>110</v>
      </c>
      <c r="I12" s="14"/>
    </row>
    <row r="13" spans="1:9" x14ac:dyDescent="0.3">
      <c r="A13" s="14">
        <v>10</v>
      </c>
      <c r="B13" s="14">
        <v>168</v>
      </c>
      <c r="C13" s="14">
        <v>74</v>
      </c>
      <c r="D13" s="14">
        <v>38</v>
      </c>
      <c r="E13" s="14">
        <v>0.53700000000000003</v>
      </c>
      <c r="F13" s="14">
        <v>34</v>
      </c>
      <c r="G13" s="14">
        <v>1</v>
      </c>
      <c r="H13" s="14" t="s">
        <v>36</v>
      </c>
      <c r="I13" s="14">
        <v>168</v>
      </c>
    </row>
    <row r="14" spans="1:9" x14ac:dyDescent="0.3">
      <c r="A14" s="14">
        <v>10</v>
      </c>
      <c r="B14" s="14">
        <v>139</v>
      </c>
      <c r="C14" s="14">
        <v>80</v>
      </c>
      <c r="D14" s="14">
        <v>27.1</v>
      </c>
      <c r="E14" s="14">
        <v>1.4410000000000001</v>
      </c>
      <c r="F14" s="14">
        <v>57</v>
      </c>
      <c r="G14" s="14">
        <v>0</v>
      </c>
      <c r="H14" s="14">
        <v>139</v>
      </c>
      <c r="I14" s="14"/>
    </row>
    <row r="15" spans="1:9" x14ac:dyDescent="0.3">
      <c r="A15" s="14">
        <v>1</v>
      </c>
      <c r="B15" s="14">
        <v>189</v>
      </c>
      <c r="C15" s="14">
        <v>60</v>
      </c>
      <c r="D15" s="14">
        <v>30.1</v>
      </c>
      <c r="E15" s="14">
        <v>0.39800000000000002</v>
      </c>
      <c r="F15" s="14">
        <v>59</v>
      </c>
      <c r="G15" s="14">
        <v>1</v>
      </c>
      <c r="H15" s="14" t="s">
        <v>36</v>
      </c>
      <c r="I15" s="14">
        <v>189</v>
      </c>
    </row>
    <row r="16" spans="1:9" x14ac:dyDescent="0.3">
      <c r="A16" s="14">
        <v>5</v>
      </c>
      <c r="B16" s="14">
        <v>166</v>
      </c>
      <c r="C16" s="14">
        <v>72</v>
      </c>
      <c r="D16" s="14">
        <v>25.8</v>
      </c>
      <c r="E16" s="14">
        <v>0.58699999999999997</v>
      </c>
      <c r="F16" s="14">
        <v>51</v>
      </c>
      <c r="G16" s="14">
        <v>1</v>
      </c>
      <c r="H16" s="14" t="s">
        <v>36</v>
      </c>
      <c r="I16" s="14">
        <v>166</v>
      </c>
    </row>
    <row r="17" spans="1:9" x14ac:dyDescent="0.3">
      <c r="A17" s="14">
        <v>7</v>
      </c>
      <c r="B17" s="14">
        <v>100</v>
      </c>
      <c r="C17" s="14">
        <v>72</v>
      </c>
      <c r="D17" s="14">
        <v>30</v>
      </c>
      <c r="E17" s="14">
        <v>0.48399999999999999</v>
      </c>
      <c r="F17" s="14">
        <v>32</v>
      </c>
      <c r="G17" s="14">
        <v>1</v>
      </c>
      <c r="H17" s="14" t="s">
        <v>36</v>
      </c>
      <c r="I17" s="14">
        <v>100</v>
      </c>
    </row>
    <row r="18" spans="1:9" x14ac:dyDescent="0.3">
      <c r="A18" s="14">
        <v>0</v>
      </c>
      <c r="B18" s="14">
        <v>118</v>
      </c>
      <c r="C18" s="14">
        <v>84</v>
      </c>
      <c r="D18" s="14">
        <v>45.8</v>
      </c>
      <c r="E18" s="14">
        <v>0.55100000000000005</v>
      </c>
      <c r="F18" s="14">
        <v>31</v>
      </c>
      <c r="G18" s="14">
        <v>1</v>
      </c>
      <c r="H18" s="14" t="s">
        <v>36</v>
      </c>
      <c r="I18" s="14">
        <v>118</v>
      </c>
    </row>
    <row r="19" spans="1:9" x14ac:dyDescent="0.3">
      <c r="A19" s="14">
        <v>7</v>
      </c>
      <c r="B19" s="14">
        <v>107</v>
      </c>
      <c r="C19" s="14">
        <v>74</v>
      </c>
      <c r="D19" s="14">
        <v>29.6</v>
      </c>
      <c r="E19" s="14">
        <v>0.254</v>
      </c>
      <c r="F19" s="14">
        <v>31</v>
      </c>
      <c r="G19" s="14">
        <v>1</v>
      </c>
      <c r="H19" s="14" t="s">
        <v>36</v>
      </c>
      <c r="I19" s="14">
        <v>107</v>
      </c>
    </row>
    <row r="20" spans="1:9" x14ac:dyDescent="0.3">
      <c r="A20" s="14">
        <v>1</v>
      </c>
      <c r="B20" s="14">
        <v>103</v>
      </c>
      <c r="C20" s="14">
        <v>30</v>
      </c>
      <c r="D20" s="14">
        <v>43.3</v>
      </c>
      <c r="E20" s="14">
        <v>0.183</v>
      </c>
      <c r="F20" s="14">
        <v>33</v>
      </c>
      <c r="G20" s="14">
        <v>0</v>
      </c>
      <c r="H20" s="14">
        <v>103</v>
      </c>
      <c r="I20" s="14"/>
    </row>
    <row r="21" spans="1:9" x14ac:dyDescent="0.3">
      <c r="A21" s="14">
        <v>1</v>
      </c>
      <c r="B21" s="14">
        <v>115</v>
      </c>
      <c r="C21" s="14">
        <v>70</v>
      </c>
      <c r="D21" s="14">
        <v>34.6</v>
      </c>
      <c r="E21" s="14">
        <v>0.52900000000000003</v>
      </c>
      <c r="F21" s="14">
        <v>32</v>
      </c>
      <c r="G21" s="14">
        <v>1</v>
      </c>
      <c r="H21" s="14" t="s">
        <v>36</v>
      </c>
      <c r="I21" s="14">
        <v>115</v>
      </c>
    </row>
    <row r="22" spans="1:9" x14ac:dyDescent="0.3">
      <c r="A22" s="14">
        <v>3</v>
      </c>
      <c r="B22" s="14">
        <v>126</v>
      </c>
      <c r="C22" s="14">
        <v>88</v>
      </c>
      <c r="D22" s="14">
        <v>39.299999999999997</v>
      </c>
      <c r="E22" s="14">
        <v>0.70399999999999996</v>
      </c>
      <c r="F22" s="14">
        <v>27</v>
      </c>
      <c r="G22" s="14">
        <v>0</v>
      </c>
      <c r="H22" s="14">
        <v>126</v>
      </c>
      <c r="I22" s="14"/>
    </row>
    <row r="23" spans="1:9" x14ac:dyDescent="0.3">
      <c r="A23" s="14">
        <v>8</v>
      </c>
      <c r="B23" s="14">
        <v>99</v>
      </c>
      <c r="C23" s="14">
        <v>84</v>
      </c>
      <c r="D23" s="14">
        <v>35.4</v>
      </c>
      <c r="E23" s="14">
        <v>0.38800000000000001</v>
      </c>
      <c r="F23" s="14">
        <v>50</v>
      </c>
      <c r="G23" s="14">
        <v>0</v>
      </c>
      <c r="H23" s="14">
        <v>99</v>
      </c>
      <c r="I23" s="14"/>
    </row>
    <row r="24" spans="1:9" x14ac:dyDescent="0.3">
      <c r="A24" s="14">
        <v>7</v>
      </c>
      <c r="B24" s="14">
        <v>196</v>
      </c>
      <c r="C24" s="14">
        <v>90</v>
      </c>
      <c r="D24" s="14">
        <v>39.799999999999997</v>
      </c>
      <c r="E24" s="14">
        <v>0.45100000000000001</v>
      </c>
      <c r="F24" s="14">
        <v>41</v>
      </c>
      <c r="G24" s="14">
        <v>1</v>
      </c>
      <c r="H24" s="14" t="s">
        <v>36</v>
      </c>
      <c r="I24" s="14">
        <v>196</v>
      </c>
    </row>
    <row r="25" spans="1:9" x14ac:dyDescent="0.3">
      <c r="A25" s="14">
        <v>9</v>
      </c>
      <c r="B25" s="14">
        <v>119</v>
      </c>
      <c r="C25" s="14">
        <v>80</v>
      </c>
      <c r="D25" s="14">
        <v>29</v>
      </c>
      <c r="E25" s="14">
        <v>0.26300000000000001</v>
      </c>
      <c r="F25" s="14">
        <v>29</v>
      </c>
      <c r="G25" s="14">
        <v>1</v>
      </c>
      <c r="H25" s="14" t="s">
        <v>36</v>
      </c>
      <c r="I25" s="14">
        <v>119</v>
      </c>
    </row>
    <row r="26" spans="1:9" x14ac:dyDescent="0.3">
      <c r="A26" s="14">
        <v>11</v>
      </c>
      <c r="B26" s="14">
        <v>143</v>
      </c>
      <c r="C26" s="14">
        <v>94</v>
      </c>
      <c r="D26" s="14">
        <v>36.6</v>
      </c>
      <c r="E26" s="14">
        <v>0.254</v>
      </c>
      <c r="F26" s="14">
        <v>51</v>
      </c>
      <c r="G26" s="14">
        <v>1</v>
      </c>
      <c r="H26" s="14" t="s">
        <v>36</v>
      </c>
      <c r="I26" s="14">
        <v>143</v>
      </c>
    </row>
    <row r="27" spans="1:9" x14ac:dyDescent="0.3">
      <c r="A27" s="14">
        <v>10</v>
      </c>
      <c r="B27" s="14">
        <v>125</v>
      </c>
      <c r="C27" s="14">
        <v>70</v>
      </c>
      <c r="D27" s="14">
        <v>31.1</v>
      </c>
      <c r="E27" s="14">
        <v>0.20499999999999999</v>
      </c>
      <c r="F27" s="14">
        <v>41</v>
      </c>
      <c r="G27" s="14">
        <v>1</v>
      </c>
      <c r="H27" s="14" t="s">
        <v>36</v>
      </c>
      <c r="I27" s="14">
        <v>125</v>
      </c>
    </row>
    <row r="28" spans="1:9" x14ac:dyDescent="0.3">
      <c r="A28" s="14">
        <v>7</v>
      </c>
      <c r="B28" s="14">
        <v>147</v>
      </c>
      <c r="C28" s="14">
        <v>76</v>
      </c>
      <c r="D28" s="14">
        <v>39.4</v>
      </c>
      <c r="E28" s="14">
        <v>0.25700000000000001</v>
      </c>
      <c r="F28" s="14">
        <v>43</v>
      </c>
      <c r="G28" s="14">
        <v>1</v>
      </c>
      <c r="H28" s="14" t="s">
        <v>36</v>
      </c>
      <c r="I28" s="14">
        <v>147</v>
      </c>
    </row>
    <row r="29" spans="1:9" x14ac:dyDescent="0.3">
      <c r="A29" s="14">
        <v>1</v>
      </c>
      <c r="B29" s="14">
        <v>97</v>
      </c>
      <c r="C29" s="14">
        <v>66</v>
      </c>
      <c r="D29" s="14">
        <v>23.2</v>
      </c>
      <c r="E29" s="14">
        <v>0.48699999999999999</v>
      </c>
      <c r="F29" s="14">
        <v>22</v>
      </c>
      <c r="G29" s="14">
        <v>0</v>
      </c>
      <c r="H29" s="14">
        <v>97</v>
      </c>
      <c r="I29" s="14"/>
    </row>
    <row r="30" spans="1:9" x14ac:dyDescent="0.3">
      <c r="A30" s="14">
        <v>13</v>
      </c>
      <c r="B30" s="14">
        <v>145</v>
      </c>
      <c r="C30" s="14">
        <v>82</v>
      </c>
      <c r="D30" s="14">
        <v>22.2</v>
      </c>
      <c r="E30" s="14">
        <v>0.245</v>
      </c>
      <c r="F30" s="14">
        <v>57</v>
      </c>
      <c r="G30" s="14">
        <v>0</v>
      </c>
      <c r="H30" s="14">
        <v>145</v>
      </c>
      <c r="I30" s="14"/>
    </row>
    <row r="31" spans="1:9" x14ac:dyDescent="0.3">
      <c r="A31" s="14">
        <v>5</v>
      </c>
      <c r="B31" s="14">
        <v>117</v>
      </c>
      <c r="C31" s="14">
        <v>92</v>
      </c>
      <c r="D31" s="14">
        <v>34.1</v>
      </c>
      <c r="E31" s="14">
        <v>0.33700000000000002</v>
      </c>
      <c r="F31" s="14">
        <v>38</v>
      </c>
      <c r="G31" s="14">
        <v>0</v>
      </c>
      <c r="H31" s="14">
        <v>117</v>
      </c>
      <c r="I31" s="14"/>
    </row>
    <row r="32" spans="1:9" x14ac:dyDescent="0.3">
      <c r="A32" s="14">
        <v>5</v>
      </c>
      <c r="B32" s="14">
        <v>109</v>
      </c>
      <c r="C32" s="14">
        <v>75</v>
      </c>
      <c r="D32" s="14">
        <v>36</v>
      </c>
      <c r="E32" s="14">
        <v>0.54600000000000004</v>
      </c>
      <c r="F32" s="14">
        <v>60</v>
      </c>
      <c r="G32" s="14">
        <v>0</v>
      </c>
      <c r="H32" s="14">
        <v>109</v>
      </c>
      <c r="I32" s="14"/>
    </row>
    <row r="33" spans="1:9" x14ac:dyDescent="0.3">
      <c r="A33" s="14">
        <v>3</v>
      </c>
      <c r="B33" s="14">
        <v>158</v>
      </c>
      <c r="C33" s="14">
        <v>76</v>
      </c>
      <c r="D33" s="14">
        <v>31.6</v>
      </c>
      <c r="E33" s="14">
        <v>0.85099999999999998</v>
      </c>
      <c r="F33" s="14">
        <v>28</v>
      </c>
      <c r="G33" s="14">
        <v>1</v>
      </c>
      <c r="H33" s="14" t="s">
        <v>36</v>
      </c>
      <c r="I33" s="14">
        <v>158</v>
      </c>
    </row>
    <row r="34" spans="1:9" x14ac:dyDescent="0.3">
      <c r="A34" s="14">
        <v>3</v>
      </c>
      <c r="B34" s="14">
        <v>88</v>
      </c>
      <c r="C34" s="14">
        <v>58</v>
      </c>
      <c r="D34" s="14">
        <v>24.8</v>
      </c>
      <c r="E34" s="14">
        <v>0.26700000000000002</v>
      </c>
      <c r="F34" s="14">
        <v>22</v>
      </c>
      <c r="G34" s="14">
        <v>0</v>
      </c>
      <c r="H34" s="14">
        <v>88</v>
      </c>
      <c r="I34" s="14"/>
    </row>
    <row r="35" spans="1:9" x14ac:dyDescent="0.3">
      <c r="A35" s="14">
        <v>6</v>
      </c>
      <c r="B35" s="14">
        <v>92</v>
      </c>
      <c r="C35" s="14">
        <v>92</v>
      </c>
      <c r="D35" s="14">
        <v>19.899999999999999</v>
      </c>
      <c r="E35" s="14">
        <v>0.188</v>
      </c>
      <c r="F35" s="14">
        <v>28</v>
      </c>
      <c r="G35" s="14">
        <v>0</v>
      </c>
      <c r="H35" s="14">
        <v>92</v>
      </c>
      <c r="I35" s="14"/>
    </row>
    <row r="36" spans="1:9" x14ac:dyDescent="0.3">
      <c r="A36" s="14">
        <v>10</v>
      </c>
      <c r="B36" s="14">
        <v>122</v>
      </c>
      <c r="C36" s="14">
        <v>78</v>
      </c>
      <c r="D36" s="14">
        <v>27.6</v>
      </c>
      <c r="E36" s="14">
        <v>0.51200000000000001</v>
      </c>
      <c r="F36" s="14">
        <v>45</v>
      </c>
      <c r="G36" s="14">
        <v>0</v>
      </c>
      <c r="H36" s="14">
        <v>122</v>
      </c>
      <c r="I36" s="14"/>
    </row>
    <row r="37" spans="1:9" x14ac:dyDescent="0.3">
      <c r="A37" s="14">
        <v>4</v>
      </c>
      <c r="B37" s="14">
        <v>103</v>
      </c>
      <c r="C37" s="14">
        <v>60</v>
      </c>
      <c r="D37" s="14">
        <v>24</v>
      </c>
      <c r="E37" s="14">
        <v>0.96599999999999997</v>
      </c>
      <c r="F37" s="14">
        <v>33</v>
      </c>
      <c r="G37" s="14">
        <v>0</v>
      </c>
      <c r="H37" s="14">
        <v>103</v>
      </c>
      <c r="I37" s="14"/>
    </row>
    <row r="38" spans="1:9" x14ac:dyDescent="0.3">
      <c r="A38" s="14">
        <v>11</v>
      </c>
      <c r="B38" s="14">
        <v>138</v>
      </c>
      <c r="C38" s="14">
        <v>76</v>
      </c>
      <c r="D38" s="14">
        <v>33.200000000000003</v>
      </c>
      <c r="E38" s="14">
        <v>0.42</v>
      </c>
      <c r="F38" s="14">
        <v>35</v>
      </c>
      <c r="G38" s="14">
        <v>0</v>
      </c>
      <c r="H38" s="14">
        <v>138</v>
      </c>
      <c r="I38" s="14"/>
    </row>
    <row r="39" spans="1:9" x14ac:dyDescent="0.3">
      <c r="A39" s="14">
        <v>9</v>
      </c>
      <c r="B39" s="14">
        <v>102</v>
      </c>
      <c r="C39" s="14">
        <v>76</v>
      </c>
      <c r="D39" s="14">
        <v>32.9</v>
      </c>
      <c r="E39" s="14">
        <v>0.66500000000000004</v>
      </c>
      <c r="F39" s="14">
        <v>46</v>
      </c>
      <c r="G39" s="14">
        <v>1</v>
      </c>
      <c r="H39" s="14" t="s">
        <v>36</v>
      </c>
      <c r="I39" s="14">
        <v>102</v>
      </c>
    </row>
    <row r="40" spans="1:9" x14ac:dyDescent="0.3">
      <c r="A40" s="14">
        <v>2</v>
      </c>
      <c r="B40" s="14">
        <v>90</v>
      </c>
      <c r="C40" s="14">
        <v>68</v>
      </c>
      <c r="D40" s="14">
        <v>38.200000000000003</v>
      </c>
      <c r="E40" s="14">
        <v>0.503</v>
      </c>
      <c r="F40" s="14">
        <v>27</v>
      </c>
      <c r="G40" s="14">
        <v>1</v>
      </c>
      <c r="H40" s="14" t="s">
        <v>36</v>
      </c>
      <c r="I40" s="14">
        <v>90</v>
      </c>
    </row>
    <row r="41" spans="1:9" x14ac:dyDescent="0.3">
      <c r="A41" s="14">
        <v>4</v>
      </c>
      <c r="B41" s="14">
        <v>111</v>
      </c>
      <c r="C41" s="14">
        <v>72</v>
      </c>
      <c r="D41" s="14">
        <v>37.1</v>
      </c>
      <c r="E41" s="14">
        <v>1.39</v>
      </c>
      <c r="F41" s="14">
        <v>56</v>
      </c>
      <c r="G41" s="14">
        <v>1</v>
      </c>
      <c r="H41" s="14" t="s">
        <v>36</v>
      </c>
      <c r="I41" s="14">
        <v>111</v>
      </c>
    </row>
    <row r="42" spans="1:9" x14ac:dyDescent="0.3">
      <c r="A42" s="14">
        <v>3</v>
      </c>
      <c r="B42" s="14">
        <v>180</v>
      </c>
      <c r="C42" s="14">
        <v>64</v>
      </c>
      <c r="D42" s="14">
        <v>34</v>
      </c>
      <c r="E42" s="14">
        <v>0.27100000000000002</v>
      </c>
      <c r="F42" s="14">
        <v>26</v>
      </c>
      <c r="G42" s="14">
        <v>0</v>
      </c>
      <c r="H42" s="14">
        <v>180</v>
      </c>
      <c r="I42" s="14"/>
    </row>
    <row r="43" spans="1:9" x14ac:dyDescent="0.3">
      <c r="A43" s="14">
        <v>7</v>
      </c>
      <c r="B43" s="14">
        <v>133</v>
      </c>
      <c r="C43" s="14">
        <v>84</v>
      </c>
      <c r="D43" s="14">
        <v>40.200000000000003</v>
      </c>
      <c r="E43" s="14">
        <v>0.69599999999999995</v>
      </c>
      <c r="F43" s="14">
        <v>37</v>
      </c>
      <c r="G43" s="14">
        <v>0</v>
      </c>
      <c r="H43" s="14">
        <v>133</v>
      </c>
      <c r="I43" s="14"/>
    </row>
    <row r="44" spans="1:9" x14ac:dyDescent="0.3">
      <c r="A44" s="14">
        <v>7</v>
      </c>
      <c r="B44" s="14">
        <v>106</v>
      </c>
      <c r="C44" s="14">
        <v>92</v>
      </c>
      <c r="D44" s="14">
        <v>22.7</v>
      </c>
      <c r="E44" s="14">
        <v>0.23499999999999999</v>
      </c>
      <c r="F44" s="14">
        <v>48</v>
      </c>
      <c r="G44" s="14">
        <v>0</v>
      </c>
      <c r="H44" s="14">
        <v>106</v>
      </c>
      <c r="I44" s="14"/>
    </row>
    <row r="45" spans="1:9" x14ac:dyDescent="0.3">
      <c r="A45" s="14">
        <v>9</v>
      </c>
      <c r="B45" s="14">
        <v>171</v>
      </c>
      <c r="C45" s="14">
        <v>110</v>
      </c>
      <c r="D45" s="14">
        <v>45.4</v>
      </c>
      <c r="E45" s="14">
        <v>0.72099999999999997</v>
      </c>
      <c r="F45" s="14">
        <v>54</v>
      </c>
      <c r="G45" s="14">
        <v>1</v>
      </c>
      <c r="H45" s="14" t="s">
        <v>36</v>
      </c>
      <c r="I45" s="14">
        <v>171</v>
      </c>
    </row>
    <row r="46" spans="1:9" x14ac:dyDescent="0.3">
      <c r="A46" s="14">
        <v>7</v>
      </c>
      <c r="B46" s="14">
        <v>159</v>
      </c>
      <c r="C46" s="14">
        <v>64</v>
      </c>
      <c r="D46" s="14">
        <v>27.4</v>
      </c>
      <c r="E46" s="14">
        <v>0.29399999999999998</v>
      </c>
      <c r="F46" s="14">
        <v>40</v>
      </c>
      <c r="G46" s="14">
        <v>0</v>
      </c>
      <c r="H46" s="14">
        <v>159</v>
      </c>
      <c r="I46" s="14"/>
    </row>
    <row r="47" spans="1:9" x14ac:dyDescent="0.3">
      <c r="A47" s="14">
        <v>0</v>
      </c>
      <c r="B47" s="14">
        <v>180</v>
      </c>
      <c r="C47" s="14">
        <v>66</v>
      </c>
      <c r="D47" s="14">
        <v>42</v>
      </c>
      <c r="E47" s="14">
        <v>1.893</v>
      </c>
      <c r="F47" s="14">
        <v>25</v>
      </c>
      <c r="G47" s="14">
        <v>1</v>
      </c>
      <c r="H47" s="14" t="s">
        <v>36</v>
      </c>
      <c r="I47" s="14">
        <v>180</v>
      </c>
    </row>
    <row r="48" spans="1:9" x14ac:dyDescent="0.3">
      <c r="A48" s="14">
        <v>1</v>
      </c>
      <c r="B48" s="14">
        <v>146</v>
      </c>
      <c r="C48" s="14">
        <v>56</v>
      </c>
      <c r="D48" s="14">
        <v>29.7</v>
      </c>
      <c r="E48" s="14">
        <v>0.56399999999999995</v>
      </c>
      <c r="F48" s="14">
        <v>29</v>
      </c>
      <c r="G48" s="14">
        <v>0</v>
      </c>
      <c r="H48" s="14">
        <v>146</v>
      </c>
      <c r="I48" s="14"/>
    </row>
    <row r="49" spans="1:9" x14ac:dyDescent="0.3">
      <c r="A49" s="14">
        <v>2</v>
      </c>
      <c r="B49" s="14">
        <v>71</v>
      </c>
      <c r="C49" s="14">
        <v>70</v>
      </c>
      <c r="D49" s="14">
        <v>28</v>
      </c>
      <c r="E49" s="14">
        <v>0.58599999999999997</v>
      </c>
      <c r="F49" s="14">
        <v>22</v>
      </c>
      <c r="G49" s="14">
        <v>0</v>
      </c>
      <c r="H49" s="14">
        <v>71</v>
      </c>
      <c r="I49" s="14"/>
    </row>
    <row r="50" spans="1:9" x14ac:dyDescent="0.3">
      <c r="A50" s="14">
        <v>7</v>
      </c>
      <c r="B50" s="14">
        <v>103</v>
      </c>
      <c r="C50" s="14">
        <v>66</v>
      </c>
      <c r="D50" s="14">
        <v>39.1</v>
      </c>
      <c r="E50" s="14">
        <v>0.34399999999999997</v>
      </c>
      <c r="F50" s="14">
        <v>31</v>
      </c>
      <c r="G50" s="14">
        <v>1</v>
      </c>
      <c r="H50" s="14" t="s">
        <v>36</v>
      </c>
      <c r="I50" s="14">
        <v>103</v>
      </c>
    </row>
    <row r="51" spans="1:9" x14ac:dyDescent="0.3">
      <c r="A51" s="14">
        <v>7</v>
      </c>
      <c r="B51" s="14">
        <v>105</v>
      </c>
      <c r="C51" s="14">
        <v>72</v>
      </c>
      <c r="D51" s="14">
        <v>32</v>
      </c>
      <c r="E51" s="14">
        <v>0.30499999999999999</v>
      </c>
      <c r="F51" s="14">
        <v>24</v>
      </c>
      <c r="G51" s="14">
        <v>0</v>
      </c>
      <c r="H51" s="14">
        <v>105</v>
      </c>
      <c r="I51" s="14"/>
    </row>
    <row r="52" spans="1:9" x14ac:dyDescent="0.3">
      <c r="A52" s="14">
        <v>1</v>
      </c>
      <c r="B52" s="14">
        <v>103</v>
      </c>
      <c r="C52" s="14">
        <v>80</v>
      </c>
      <c r="D52" s="14">
        <v>19.399999999999999</v>
      </c>
      <c r="E52" s="14">
        <v>0.49099999999999999</v>
      </c>
      <c r="F52" s="14">
        <v>22</v>
      </c>
      <c r="G52" s="14">
        <v>0</v>
      </c>
      <c r="H52" s="14">
        <v>103</v>
      </c>
      <c r="I52" s="14"/>
    </row>
    <row r="53" spans="1:9" x14ac:dyDescent="0.3">
      <c r="A53" s="14">
        <v>1</v>
      </c>
      <c r="B53" s="14">
        <v>101</v>
      </c>
      <c r="C53" s="14">
        <v>50</v>
      </c>
      <c r="D53" s="14">
        <v>24.2</v>
      </c>
      <c r="E53" s="14">
        <v>0.52600000000000002</v>
      </c>
      <c r="F53" s="14">
        <v>26</v>
      </c>
      <c r="G53" s="14">
        <v>0</v>
      </c>
      <c r="H53" s="14">
        <v>101</v>
      </c>
      <c r="I53" s="14"/>
    </row>
    <row r="54" spans="1:9" x14ac:dyDescent="0.3">
      <c r="A54" s="14">
        <v>5</v>
      </c>
      <c r="B54" s="14">
        <v>88</v>
      </c>
      <c r="C54" s="14">
        <v>66</v>
      </c>
      <c r="D54" s="14">
        <v>24.4</v>
      </c>
      <c r="E54" s="14">
        <v>0.34200000000000003</v>
      </c>
      <c r="F54" s="14">
        <v>30</v>
      </c>
      <c r="G54" s="14">
        <v>0</v>
      </c>
      <c r="H54" s="14">
        <v>88</v>
      </c>
      <c r="I54" s="14"/>
    </row>
    <row r="55" spans="1:9" x14ac:dyDescent="0.3">
      <c r="A55" s="14">
        <v>8</v>
      </c>
      <c r="B55" s="14">
        <v>176</v>
      </c>
      <c r="C55" s="14">
        <v>90</v>
      </c>
      <c r="D55" s="14">
        <v>33.700000000000003</v>
      </c>
      <c r="E55" s="14">
        <v>0.46700000000000003</v>
      </c>
      <c r="F55" s="14">
        <v>58</v>
      </c>
      <c r="G55" s="14">
        <v>1</v>
      </c>
      <c r="H55" s="14" t="s">
        <v>36</v>
      </c>
      <c r="I55" s="14">
        <v>176</v>
      </c>
    </row>
    <row r="56" spans="1:9" x14ac:dyDescent="0.3">
      <c r="A56" s="14">
        <v>7</v>
      </c>
      <c r="B56" s="14">
        <v>150</v>
      </c>
      <c r="C56" s="14">
        <v>66</v>
      </c>
      <c r="D56" s="14">
        <v>34.700000000000003</v>
      </c>
      <c r="E56" s="14">
        <v>0.71799999999999997</v>
      </c>
      <c r="F56" s="14">
        <v>42</v>
      </c>
      <c r="G56" s="14">
        <v>0</v>
      </c>
      <c r="H56" s="14">
        <v>150</v>
      </c>
      <c r="I56" s="14"/>
    </row>
    <row r="57" spans="1:9" x14ac:dyDescent="0.3">
      <c r="A57" s="14">
        <v>1</v>
      </c>
      <c r="B57" s="14">
        <v>73</v>
      </c>
      <c r="C57" s="14">
        <v>50</v>
      </c>
      <c r="D57" s="14">
        <v>23</v>
      </c>
      <c r="E57" s="14">
        <v>0.248</v>
      </c>
      <c r="F57" s="14">
        <v>21</v>
      </c>
      <c r="G57" s="14">
        <v>0</v>
      </c>
      <c r="H57" s="14">
        <v>73</v>
      </c>
      <c r="I57" s="14"/>
    </row>
    <row r="58" spans="1:9" x14ac:dyDescent="0.3">
      <c r="A58" s="14">
        <v>7</v>
      </c>
      <c r="B58" s="14">
        <v>187</v>
      </c>
      <c r="C58" s="14">
        <v>68</v>
      </c>
      <c r="D58" s="14">
        <v>37.700000000000003</v>
      </c>
      <c r="E58" s="14">
        <v>0.254</v>
      </c>
      <c r="F58" s="14">
        <v>41</v>
      </c>
      <c r="G58" s="14">
        <v>1</v>
      </c>
      <c r="H58" s="14" t="s">
        <v>36</v>
      </c>
      <c r="I58" s="14">
        <v>187</v>
      </c>
    </row>
    <row r="59" spans="1:9" x14ac:dyDescent="0.3">
      <c r="A59" s="14">
        <v>0</v>
      </c>
      <c r="B59" s="14">
        <v>100</v>
      </c>
      <c r="C59" s="14">
        <v>88</v>
      </c>
      <c r="D59" s="14">
        <v>46.8</v>
      </c>
      <c r="E59" s="14">
        <v>0.96199999999999997</v>
      </c>
      <c r="F59" s="14">
        <v>31</v>
      </c>
      <c r="G59" s="14">
        <v>0</v>
      </c>
      <c r="H59" s="14">
        <v>100</v>
      </c>
      <c r="I59" s="14"/>
    </row>
    <row r="60" spans="1:9" x14ac:dyDescent="0.3">
      <c r="A60" s="14">
        <v>0</v>
      </c>
      <c r="B60" s="14">
        <v>146</v>
      </c>
      <c r="C60" s="14">
        <v>82</v>
      </c>
      <c r="D60" s="14">
        <v>40.5</v>
      </c>
      <c r="E60" s="14">
        <v>1.7809999999999999</v>
      </c>
      <c r="F60" s="14">
        <v>44</v>
      </c>
      <c r="G60" s="14">
        <v>0</v>
      </c>
      <c r="H60" s="14">
        <v>146</v>
      </c>
      <c r="I60" s="14"/>
    </row>
    <row r="61" spans="1:9" x14ac:dyDescent="0.3">
      <c r="A61" s="14">
        <v>0</v>
      </c>
      <c r="B61" s="14">
        <v>105</v>
      </c>
      <c r="C61" s="14">
        <v>64</v>
      </c>
      <c r="D61" s="14">
        <v>41.5</v>
      </c>
      <c r="E61" s="14">
        <v>0.17299999999999999</v>
      </c>
      <c r="F61" s="14">
        <v>22</v>
      </c>
      <c r="G61" s="14">
        <v>0</v>
      </c>
      <c r="H61" s="14">
        <v>105</v>
      </c>
      <c r="I61" s="14"/>
    </row>
    <row r="62" spans="1:9" x14ac:dyDescent="0.3">
      <c r="A62" s="14">
        <v>2</v>
      </c>
      <c r="B62" s="14">
        <v>84</v>
      </c>
      <c r="C62" s="14">
        <v>72</v>
      </c>
      <c r="D62" s="14">
        <v>32</v>
      </c>
      <c r="E62" s="14">
        <v>0.30399999999999999</v>
      </c>
      <c r="F62" s="14">
        <v>21</v>
      </c>
      <c r="G62" s="14">
        <v>0</v>
      </c>
      <c r="H62" s="14">
        <v>84</v>
      </c>
      <c r="I62" s="14"/>
    </row>
    <row r="63" spans="1:9" x14ac:dyDescent="0.3">
      <c r="A63" s="14">
        <v>8</v>
      </c>
      <c r="B63" s="14">
        <v>133</v>
      </c>
      <c r="C63" s="14">
        <v>72</v>
      </c>
      <c r="D63" s="14">
        <v>32.9</v>
      </c>
      <c r="E63" s="14">
        <v>0.27</v>
      </c>
      <c r="F63" s="14">
        <v>39</v>
      </c>
      <c r="G63" s="14">
        <v>1</v>
      </c>
      <c r="H63" s="14" t="s">
        <v>36</v>
      </c>
      <c r="I63" s="14">
        <v>133</v>
      </c>
    </row>
    <row r="64" spans="1:9" x14ac:dyDescent="0.3">
      <c r="A64" s="14">
        <v>5</v>
      </c>
      <c r="B64" s="14">
        <v>44</v>
      </c>
      <c r="C64" s="14">
        <v>62</v>
      </c>
      <c r="D64" s="14">
        <v>25</v>
      </c>
      <c r="E64" s="14">
        <v>0.58699999999999997</v>
      </c>
      <c r="F64" s="14">
        <v>36</v>
      </c>
      <c r="G64" s="14">
        <v>0</v>
      </c>
      <c r="H64" s="14">
        <v>44</v>
      </c>
      <c r="I64" s="14"/>
    </row>
    <row r="65" spans="1:9" x14ac:dyDescent="0.3">
      <c r="A65" s="14">
        <v>2</v>
      </c>
      <c r="B65" s="14">
        <v>141</v>
      </c>
      <c r="C65" s="14">
        <v>58</v>
      </c>
      <c r="D65" s="14">
        <v>25.4</v>
      </c>
      <c r="E65" s="14">
        <v>0.69899999999999995</v>
      </c>
      <c r="F65" s="14">
        <v>24</v>
      </c>
      <c r="G65" s="14">
        <v>0</v>
      </c>
      <c r="H65" s="14">
        <v>141</v>
      </c>
      <c r="I65" s="14"/>
    </row>
    <row r="66" spans="1:9" x14ac:dyDescent="0.3">
      <c r="A66" s="14">
        <v>7</v>
      </c>
      <c r="B66" s="14">
        <v>114</v>
      </c>
      <c r="C66" s="14">
        <v>66</v>
      </c>
      <c r="D66" s="14">
        <v>32.799999999999997</v>
      </c>
      <c r="E66" s="14">
        <v>0.25800000000000001</v>
      </c>
      <c r="F66" s="14">
        <v>42</v>
      </c>
      <c r="G66" s="14">
        <v>1</v>
      </c>
      <c r="H66" s="14" t="s">
        <v>36</v>
      </c>
      <c r="I66" s="14">
        <v>114</v>
      </c>
    </row>
    <row r="67" spans="1:9" x14ac:dyDescent="0.3">
      <c r="A67" s="14">
        <v>5</v>
      </c>
      <c r="B67" s="14">
        <v>99</v>
      </c>
      <c r="C67" s="14">
        <v>74</v>
      </c>
      <c r="D67" s="14">
        <v>29</v>
      </c>
      <c r="E67" s="14">
        <v>0.20300000000000001</v>
      </c>
      <c r="F67" s="14">
        <v>32</v>
      </c>
      <c r="G67" s="14">
        <v>0</v>
      </c>
      <c r="H67" s="14">
        <v>99</v>
      </c>
      <c r="I67" s="14"/>
    </row>
    <row r="68" spans="1:9" x14ac:dyDescent="0.3">
      <c r="A68" s="14">
        <v>0</v>
      </c>
      <c r="B68" s="14">
        <v>109</v>
      </c>
      <c r="C68" s="14">
        <v>88</v>
      </c>
      <c r="D68" s="14">
        <v>32.5</v>
      </c>
      <c r="E68" s="14">
        <v>0.85499999999999998</v>
      </c>
      <c r="F68" s="14">
        <v>38</v>
      </c>
      <c r="G68" s="14">
        <v>1</v>
      </c>
      <c r="H68" s="14" t="s">
        <v>36</v>
      </c>
      <c r="I68" s="14">
        <v>109</v>
      </c>
    </row>
    <row r="69" spans="1:9" x14ac:dyDescent="0.3">
      <c r="A69" s="14">
        <v>2</v>
      </c>
      <c r="B69" s="14">
        <v>109</v>
      </c>
      <c r="C69" s="14">
        <v>92</v>
      </c>
      <c r="D69" s="14">
        <v>42.7</v>
      </c>
      <c r="E69" s="14">
        <v>0.84499999999999997</v>
      </c>
      <c r="F69" s="14">
        <v>54</v>
      </c>
      <c r="G69" s="14">
        <v>0</v>
      </c>
      <c r="H69" s="14">
        <v>109</v>
      </c>
      <c r="I69" s="14"/>
    </row>
    <row r="70" spans="1:9" x14ac:dyDescent="0.3">
      <c r="A70" s="14">
        <v>1</v>
      </c>
      <c r="B70" s="14">
        <v>95</v>
      </c>
      <c r="C70" s="14">
        <v>66</v>
      </c>
      <c r="D70" s="14">
        <v>19.600000000000001</v>
      </c>
      <c r="E70" s="14">
        <v>0.33400000000000002</v>
      </c>
      <c r="F70" s="14">
        <v>25</v>
      </c>
      <c r="G70" s="14">
        <v>0</v>
      </c>
      <c r="H70" s="14">
        <v>95</v>
      </c>
      <c r="I70" s="14"/>
    </row>
    <row r="71" spans="1:9" x14ac:dyDescent="0.3">
      <c r="A71" s="14">
        <v>4</v>
      </c>
      <c r="B71" s="14">
        <v>146</v>
      </c>
      <c r="C71" s="14">
        <v>85</v>
      </c>
      <c r="D71" s="14">
        <v>28.9</v>
      </c>
      <c r="E71" s="14">
        <v>0.189</v>
      </c>
      <c r="F71" s="14">
        <v>27</v>
      </c>
      <c r="G71" s="14">
        <v>0</v>
      </c>
      <c r="H71" s="14">
        <v>146</v>
      </c>
      <c r="I71" s="14"/>
    </row>
    <row r="72" spans="1:9" x14ac:dyDescent="0.3">
      <c r="A72" s="14">
        <v>2</v>
      </c>
      <c r="B72" s="14">
        <v>100</v>
      </c>
      <c r="C72" s="14">
        <v>66</v>
      </c>
      <c r="D72" s="14">
        <v>32.9</v>
      </c>
      <c r="E72" s="14">
        <v>0.86699999999999999</v>
      </c>
      <c r="F72" s="14">
        <v>28</v>
      </c>
      <c r="G72" s="14">
        <v>1</v>
      </c>
      <c r="H72" s="14" t="s">
        <v>36</v>
      </c>
      <c r="I72" s="14">
        <v>100</v>
      </c>
    </row>
    <row r="73" spans="1:9" x14ac:dyDescent="0.3">
      <c r="A73" s="14">
        <v>5</v>
      </c>
      <c r="B73" s="14">
        <v>139</v>
      </c>
      <c r="C73" s="14">
        <v>64</v>
      </c>
      <c r="D73" s="14">
        <v>28.6</v>
      </c>
      <c r="E73" s="14">
        <v>0.41099999999999998</v>
      </c>
      <c r="F73" s="14">
        <v>26</v>
      </c>
      <c r="G73" s="14">
        <v>0</v>
      </c>
      <c r="H73" s="14">
        <v>139</v>
      </c>
      <c r="I73" s="14"/>
    </row>
    <row r="74" spans="1:9" x14ac:dyDescent="0.3">
      <c r="A74" s="14">
        <v>13</v>
      </c>
      <c r="B74" s="14">
        <v>126</v>
      </c>
      <c r="C74" s="14">
        <v>90</v>
      </c>
      <c r="D74" s="14">
        <v>43.4</v>
      </c>
      <c r="E74" s="14">
        <v>0.58299999999999996</v>
      </c>
      <c r="F74" s="14">
        <v>42</v>
      </c>
      <c r="G74" s="14">
        <v>1</v>
      </c>
      <c r="H74" s="14" t="s">
        <v>36</v>
      </c>
      <c r="I74" s="14">
        <v>126</v>
      </c>
    </row>
    <row r="75" spans="1:9" x14ac:dyDescent="0.3">
      <c r="A75" s="14">
        <v>4</v>
      </c>
      <c r="B75" s="14">
        <v>129</v>
      </c>
      <c r="C75" s="14">
        <v>86</v>
      </c>
      <c r="D75" s="14">
        <v>35.1</v>
      </c>
      <c r="E75" s="14">
        <v>0.23100000000000001</v>
      </c>
      <c r="F75" s="14">
        <v>23</v>
      </c>
      <c r="G75" s="14">
        <v>0</v>
      </c>
      <c r="H75" s="14">
        <v>129</v>
      </c>
      <c r="I75" s="14"/>
    </row>
    <row r="76" spans="1:9" x14ac:dyDescent="0.3">
      <c r="A76" s="14">
        <v>1</v>
      </c>
      <c r="B76" s="14">
        <v>79</v>
      </c>
      <c r="C76" s="14">
        <v>75</v>
      </c>
      <c r="D76" s="14">
        <v>32</v>
      </c>
      <c r="E76" s="14">
        <v>0.39600000000000002</v>
      </c>
      <c r="F76" s="14">
        <v>22</v>
      </c>
      <c r="G76" s="14">
        <v>0</v>
      </c>
      <c r="H76" s="14">
        <v>79</v>
      </c>
      <c r="I76" s="14"/>
    </row>
    <row r="77" spans="1:9" x14ac:dyDescent="0.3">
      <c r="A77" s="14">
        <v>1</v>
      </c>
      <c r="B77" s="14">
        <v>117</v>
      </c>
      <c r="C77" s="14">
        <v>48</v>
      </c>
      <c r="D77" s="14">
        <v>24.7</v>
      </c>
      <c r="E77" s="14">
        <v>0.14000000000000001</v>
      </c>
      <c r="F77" s="14">
        <v>22</v>
      </c>
      <c r="G77" s="14">
        <v>0</v>
      </c>
      <c r="H77" s="14">
        <v>117</v>
      </c>
      <c r="I77" s="14"/>
    </row>
    <row r="78" spans="1:9" x14ac:dyDescent="0.3">
      <c r="A78" s="14">
        <v>7</v>
      </c>
      <c r="B78" s="14">
        <v>62</v>
      </c>
      <c r="C78" s="14">
        <v>78</v>
      </c>
      <c r="D78" s="14">
        <v>32.6</v>
      </c>
      <c r="E78" s="14">
        <v>0.39100000000000001</v>
      </c>
      <c r="F78" s="14">
        <v>41</v>
      </c>
      <c r="G78" s="14">
        <v>0</v>
      </c>
      <c r="H78" s="14">
        <v>62</v>
      </c>
      <c r="I78" s="14"/>
    </row>
    <row r="79" spans="1:9" x14ac:dyDescent="0.3">
      <c r="A79" s="14">
        <v>5</v>
      </c>
      <c r="B79" s="14">
        <v>95</v>
      </c>
      <c r="C79" s="14">
        <v>72</v>
      </c>
      <c r="D79" s="14">
        <v>37.700000000000003</v>
      </c>
      <c r="E79" s="14">
        <v>0.37</v>
      </c>
      <c r="F79" s="14">
        <v>27</v>
      </c>
      <c r="G79" s="14">
        <v>0</v>
      </c>
      <c r="H79" s="14">
        <v>95</v>
      </c>
      <c r="I79" s="14"/>
    </row>
    <row r="80" spans="1:9" x14ac:dyDescent="0.3">
      <c r="A80" s="14">
        <v>0</v>
      </c>
      <c r="B80" s="14">
        <v>131</v>
      </c>
      <c r="C80" s="14">
        <v>72</v>
      </c>
      <c r="D80" s="14">
        <v>43.2</v>
      </c>
      <c r="E80" s="14">
        <v>0.27</v>
      </c>
      <c r="F80" s="14">
        <v>26</v>
      </c>
      <c r="G80" s="14">
        <v>1</v>
      </c>
      <c r="H80" s="14" t="s">
        <v>36</v>
      </c>
      <c r="I80" s="14">
        <v>131</v>
      </c>
    </row>
    <row r="81" spans="1:9" x14ac:dyDescent="0.3">
      <c r="A81" s="14">
        <v>2</v>
      </c>
      <c r="B81" s="14">
        <v>112</v>
      </c>
      <c r="C81" s="14">
        <v>66</v>
      </c>
      <c r="D81" s="14">
        <v>25</v>
      </c>
      <c r="E81" s="14">
        <v>0.307</v>
      </c>
      <c r="F81" s="14">
        <v>24</v>
      </c>
      <c r="G81" s="14">
        <v>0</v>
      </c>
      <c r="H81" s="14">
        <v>112</v>
      </c>
      <c r="I81" s="14"/>
    </row>
    <row r="82" spans="1:9" x14ac:dyDescent="0.3">
      <c r="A82" s="14">
        <v>3</v>
      </c>
      <c r="B82" s="14">
        <v>113</v>
      </c>
      <c r="C82" s="14">
        <v>44</v>
      </c>
      <c r="D82" s="14">
        <v>22.4</v>
      </c>
      <c r="E82" s="14">
        <v>0.14000000000000001</v>
      </c>
      <c r="F82" s="14">
        <v>22</v>
      </c>
      <c r="G82" s="14">
        <v>0</v>
      </c>
      <c r="H82" s="14">
        <v>113</v>
      </c>
      <c r="I82" s="14"/>
    </row>
    <row r="83" spans="1:9" x14ac:dyDescent="0.3">
      <c r="A83" s="14">
        <v>2</v>
      </c>
      <c r="B83" s="14">
        <v>74</v>
      </c>
      <c r="C83" s="14">
        <v>72</v>
      </c>
      <c r="D83" s="14">
        <v>32</v>
      </c>
      <c r="E83" s="14">
        <v>0.10199999999999999</v>
      </c>
      <c r="F83" s="14">
        <v>22</v>
      </c>
      <c r="G83" s="14">
        <v>0</v>
      </c>
      <c r="H83" s="14">
        <v>74</v>
      </c>
      <c r="I83" s="14"/>
    </row>
    <row r="84" spans="1:9" x14ac:dyDescent="0.3">
      <c r="A84" s="14">
        <v>7</v>
      </c>
      <c r="B84" s="14">
        <v>83</v>
      </c>
      <c r="C84" s="14">
        <v>78</v>
      </c>
      <c r="D84" s="14">
        <v>29.3</v>
      </c>
      <c r="E84" s="14">
        <v>0.76700000000000002</v>
      </c>
      <c r="F84" s="14">
        <v>36</v>
      </c>
      <c r="G84" s="14">
        <v>0</v>
      </c>
      <c r="H84" s="14">
        <v>83</v>
      </c>
      <c r="I84" s="14"/>
    </row>
    <row r="85" spans="1:9" x14ac:dyDescent="0.3">
      <c r="A85" s="14">
        <v>0</v>
      </c>
      <c r="B85" s="14">
        <v>101</v>
      </c>
      <c r="C85" s="14">
        <v>65</v>
      </c>
      <c r="D85" s="14">
        <v>24.6</v>
      </c>
      <c r="E85" s="14">
        <v>0.23699999999999999</v>
      </c>
      <c r="F85" s="14">
        <v>22</v>
      </c>
      <c r="G85" s="14">
        <v>0</v>
      </c>
      <c r="H85" s="14">
        <v>101</v>
      </c>
      <c r="I85" s="14"/>
    </row>
    <row r="86" spans="1:9" x14ac:dyDescent="0.3">
      <c r="A86" s="14">
        <v>5</v>
      </c>
      <c r="B86" s="14">
        <v>137</v>
      </c>
      <c r="C86" s="14">
        <v>108</v>
      </c>
      <c r="D86" s="14">
        <v>48.8</v>
      </c>
      <c r="E86" s="14">
        <v>0.22700000000000001</v>
      </c>
      <c r="F86" s="14">
        <v>37</v>
      </c>
      <c r="G86" s="14">
        <v>1</v>
      </c>
      <c r="H86" s="14" t="s">
        <v>36</v>
      </c>
      <c r="I86" s="14">
        <v>137</v>
      </c>
    </row>
    <row r="87" spans="1:9" x14ac:dyDescent="0.3">
      <c r="A87" s="14">
        <v>2</v>
      </c>
      <c r="B87" s="14">
        <v>110</v>
      </c>
      <c r="C87" s="14">
        <v>74</v>
      </c>
      <c r="D87" s="14">
        <v>32.4</v>
      </c>
      <c r="E87" s="14">
        <v>0.69799999999999995</v>
      </c>
      <c r="F87" s="14">
        <v>27</v>
      </c>
      <c r="G87" s="14">
        <v>0</v>
      </c>
      <c r="H87" s="14">
        <v>110</v>
      </c>
      <c r="I87" s="14"/>
    </row>
    <row r="88" spans="1:9" x14ac:dyDescent="0.3">
      <c r="A88" s="14">
        <v>13</v>
      </c>
      <c r="B88" s="14">
        <v>106</v>
      </c>
      <c r="C88" s="14">
        <v>72</v>
      </c>
      <c r="D88" s="14">
        <v>36.6</v>
      </c>
      <c r="E88" s="14">
        <v>0.17799999999999999</v>
      </c>
      <c r="F88" s="14">
        <v>45</v>
      </c>
      <c r="G88" s="14">
        <v>0</v>
      </c>
      <c r="H88" s="14">
        <v>106</v>
      </c>
      <c r="I88" s="14"/>
    </row>
    <row r="89" spans="1:9" x14ac:dyDescent="0.3">
      <c r="A89" s="14">
        <v>2</v>
      </c>
      <c r="B89" s="14">
        <v>100</v>
      </c>
      <c r="C89" s="14">
        <v>68</v>
      </c>
      <c r="D89" s="14">
        <v>38.5</v>
      </c>
      <c r="E89" s="14">
        <v>0.32400000000000001</v>
      </c>
      <c r="F89" s="14">
        <v>26</v>
      </c>
      <c r="G89" s="14">
        <v>0</v>
      </c>
      <c r="H89" s="14">
        <v>100</v>
      </c>
      <c r="I89" s="14"/>
    </row>
    <row r="90" spans="1:9" x14ac:dyDescent="0.3">
      <c r="A90" s="14">
        <v>15</v>
      </c>
      <c r="B90" s="14">
        <v>136</v>
      </c>
      <c r="C90" s="14">
        <v>70</v>
      </c>
      <c r="D90" s="14">
        <v>37.1</v>
      </c>
      <c r="E90" s="14">
        <v>0.153</v>
      </c>
      <c r="F90" s="14">
        <v>43</v>
      </c>
      <c r="G90" s="14">
        <v>1</v>
      </c>
      <c r="H90" s="14" t="s">
        <v>36</v>
      </c>
      <c r="I90" s="14">
        <v>136</v>
      </c>
    </row>
    <row r="91" spans="1:9" x14ac:dyDescent="0.3">
      <c r="A91" s="14">
        <v>1</v>
      </c>
      <c r="B91" s="14">
        <v>107</v>
      </c>
      <c r="C91" s="14">
        <v>68</v>
      </c>
      <c r="D91" s="14">
        <v>26.5</v>
      </c>
      <c r="E91" s="14">
        <v>0.16500000000000001</v>
      </c>
      <c r="F91" s="14">
        <v>24</v>
      </c>
      <c r="G91" s="14">
        <v>0</v>
      </c>
      <c r="H91" s="14">
        <v>107</v>
      </c>
      <c r="I91" s="14"/>
    </row>
    <row r="92" spans="1:9" x14ac:dyDescent="0.3">
      <c r="A92" s="14">
        <v>1</v>
      </c>
      <c r="B92" s="14">
        <v>80</v>
      </c>
      <c r="C92" s="14">
        <v>55</v>
      </c>
      <c r="D92" s="14">
        <v>19.100000000000001</v>
      </c>
      <c r="E92" s="14">
        <v>0.25800000000000001</v>
      </c>
      <c r="F92" s="14">
        <v>21</v>
      </c>
      <c r="G92" s="14">
        <v>0</v>
      </c>
      <c r="H92" s="14">
        <v>80</v>
      </c>
      <c r="I92" s="14"/>
    </row>
    <row r="93" spans="1:9" x14ac:dyDescent="0.3">
      <c r="A93" s="14">
        <v>4</v>
      </c>
      <c r="B93" s="14">
        <v>123</v>
      </c>
      <c r="C93" s="14">
        <v>80</v>
      </c>
      <c r="D93" s="14">
        <v>32</v>
      </c>
      <c r="E93" s="14">
        <v>0.443</v>
      </c>
      <c r="F93" s="14">
        <v>34</v>
      </c>
      <c r="G93" s="14">
        <v>0</v>
      </c>
      <c r="H93" s="14">
        <v>123</v>
      </c>
      <c r="I93" s="14"/>
    </row>
    <row r="94" spans="1:9" x14ac:dyDescent="0.3">
      <c r="A94" s="14">
        <v>7</v>
      </c>
      <c r="B94" s="14">
        <v>81</v>
      </c>
      <c r="C94" s="14">
        <v>78</v>
      </c>
      <c r="D94" s="14">
        <v>46.7</v>
      </c>
      <c r="E94" s="14">
        <v>0.26100000000000001</v>
      </c>
      <c r="F94" s="14">
        <v>42</v>
      </c>
      <c r="G94" s="14">
        <v>0</v>
      </c>
      <c r="H94" s="14">
        <v>81</v>
      </c>
      <c r="I94" s="14"/>
    </row>
    <row r="95" spans="1:9" x14ac:dyDescent="0.3">
      <c r="A95" s="14">
        <v>4</v>
      </c>
      <c r="B95" s="14">
        <v>134</v>
      </c>
      <c r="C95" s="14">
        <v>72</v>
      </c>
      <c r="D95" s="14">
        <v>23.8</v>
      </c>
      <c r="E95" s="14">
        <v>0.27700000000000002</v>
      </c>
      <c r="F95" s="14">
        <v>60</v>
      </c>
      <c r="G95" s="14">
        <v>1</v>
      </c>
      <c r="H95" s="14" t="s">
        <v>36</v>
      </c>
      <c r="I95" s="14">
        <v>134</v>
      </c>
    </row>
    <row r="96" spans="1:9" x14ac:dyDescent="0.3">
      <c r="A96" s="14">
        <v>2</v>
      </c>
      <c r="B96" s="14">
        <v>142</v>
      </c>
      <c r="C96" s="14">
        <v>82</v>
      </c>
      <c r="D96" s="14">
        <v>24.7</v>
      </c>
      <c r="E96" s="14">
        <v>0.76100000000000001</v>
      </c>
      <c r="F96" s="14">
        <v>21</v>
      </c>
      <c r="G96" s="14">
        <v>0</v>
      </c>
      <c r="H96" s="14">
        <v>142</v>
      </c>
      <c r="I96" s="14"/>
    </row>
    <row r="97" spans="1:9" x14ac:dyDescent="0.3">
      <c r="A97" s="14">
        <v>6</v>
      </c>
      <c r="B97" s="14">
        <v>144</v>
      </c>
      <c r="C97" s="14">
        <v>72</v>
      </c>
      <c r="D97" s="14">
        <v>33.9</v>
      </c>
      <c r="E97" s="14">
        <v>0.255</v>
      </c>
      <c r="F97" s="14">
        <v>40</v>
      </c>
      <c r="G97" s="14">
        <v>0</v>
      </c>
      <c r="H97" s="14">
        <v>144</v>
      </c>
      <c r="I97" s="14"/>
    </row>
    <row r="98" spans="1:9" x14ac:dyDescent="0.3">
      <c r="A98" s="14">
        <v>2</v>
      </c>
      <c r="B98" s="14">
        <v>92</v>
      </c>
      <c r="C98" s="14">
        <v>62</v>
      </c>
      <c r="D98" s="14">
        <v>31.6</v>
      </c>
      <c r="E98" s="14">
        <v>0.13</v>
      </c>
      <c r="F98" s="14">
        <v>24</v>
      </c>
      <c r="G98" s="14">
        <v>0</v>
      </c>
      <c r="H98" s="14">
        <v>92</v>
      </c>
      <c r="I98" s="14"/>
    </row>
    <row r="99" spans="1:9" x14ac:dyDescent="0.3">
      <c r="A99" s="14">
        <v>1</v>
      </c>
      <c r="B99" s="14">
        <v>71</v>
      </c>
      <c r="C99" s="14">
        <v>48</v>
      </c>
      <c r="D99" s="14">
        <v>20.399999999999999</v>
      </c>
      <c r="E99" s="14">
        <v>0.32300000000000001</v>
      </c>
      <c r="F99" s="14">
        <v>22</v>
      </c>
      <c r="G99" s="14">
        <v>0</v>
      </c>
      <c r="H99" s="14">
        <v>71</v>
      </c>
      <c r="I99" s="14"/>
    </row>
    <row r="100" spans="1:9" x14ac:dyDescent="0.3">
      <c r="A100" s="14">
        <v>6</v>
      </c>
      <c r="B100" s="14">
        <v>93</v>
      </c>
      <c r="C100" s="14">
        <v>50</v>
      </c>
      <c r="D100" s="14">
        <v>28.7</v>
      </c>
      <c r="E100" s="14">
        <v>0.35599999999999998</v>
      </c>
      <c r="F100" s="14">
        <v>23</v>
      </c>
      <c r="G100" s="14">
        <v>0</v>
      </c>
      <c r="H100" s="14">
        <v>93</v>
      </c>
      <c r="I100" s="14"/>
    </row>
    <row r="101" spans="1:9" x14ac:dyDescent="0.3">
      <c r="A101" s="14">
        <v>1</v>
      </c>
      <c r="B101" s="14">
        <v>122</v>
      </c>
      <c r="C101" s="14">
        <v>90</v>
      </c>
      <c r="D101" s="14">
        <v>49.7</v>
      </c>
      <c r="E101" s="14">
        <v>0.32500000000000001</v>
      </c>
      <c r="F101" s="14">
        <v>31</v>
      </c>
      <c r="G101" s="14">
        <v>1</v>
      </c>
      <c r="H101" s="14" t="s">
        <v>36</v>
      </c>
      <c r="I101" s="14">
        <v>122</v>
      </c>
    </row>
    <row r="102" spans="1:9" x14ac:dyDescent="0.3">
      <c r="A102" s="14">
        <v>1</v>
      </c>
      <c r="B102" s="14">
        <v>163</v>
      </c>
      <c r="C102" s="14">
        <v>72</v>
      </c>
      <c r="D102" s="14">
        <v>39</v>
      </c>
      <c r="E102" s="14">
        <v>1.222</v>
      </c>
      <c r="F102" s="14">
        <v>33</v>
      </c>
      <c r="G102" s="14">
        <v>1</v>
      </c>
      <c r="H102" s="14" t="s">
        <v>36</v>
      </c>
      <c r="I102" s="14">
        <v>163</v>
      </c>
    </row>
    <row r="103" spans="1:9" x14ac:dyDescent="0.3">
      <c r="A103" s="14">
        <v>1</v>
      </c>
      <c r="B103" s="14">
        <v>151</v>
      </c>
      <c r="C103" s="14">
        <v>60</v>
      </c>
      <c r="D103" s="14">
        <v>26.1</v>
      </c>
      <c r="E103" s="14">
        <v>0.17899999999999999</v>
      </c>
      <c r="F103" s="14">
        <v>22</v>
      </c>
      <c r="G103" s="14">
        <v>0</v>
      </c>
      <c r="H103" s="14">
        <v>151</v>
      </c>
      <c r="I103" s="14"/>
    </row>
    <row r="104" spans="1:9" x14ac:dyDescent="0.3">
      <c r="A104" s="14">
        <v>0</v>
      </c>
      <c r="B104" s="14">
        <v>125</v>
      </c>
      <c r="C104" s="14">
        <v>96</v>
      </c>
      <c r="D104" s="14">
        <v>22.5</v>
      </c>
      <c r="E104" s="14">
        <v>0.26200000000000001</v>
      </c>
      <c r="F104" s="14">
        <v>21</v>
      </c>
      <c r="G104" s="14">
        <v>0</v>
      </c>
      <c r="H104" s="14">
        <v>125</v>
      </c>
      <c r="I104" s="14"/>
    </row>
    <row r="105" spans="1:9" x14ac:dyDescent="0.3">
      <c r="A105" s="14">
        <v>1</v>
      </c>
      <c r="B105" s="14">
        <v>81</v>
      </c>
      <c r="C105" s="14">
        <v>72</v>
      </c>
      <c r="D105" s="14">
        <v>26.6</v>
      </c>
      <c r="E105" s="14">
        <v>0.28299999999999997</v>
      </c>
      <c r="F105" s="14">
        <v>24</v>
      </c>
      <c r="G105" s="14">
        <v>0</v>
      </c>
      <c r="H105" s="14">
        <v>81</v>
      </c>
      <c r="I105" s="14"/>
    </row>
    <row r="106" spans="1:9" x14ac:dyDescent="0.3">
      <c r="A106" s="14">
        <v>2</v>
      </c>
      <c r="B106" s="14">
        <v>85</v>
      </c>
      <c r="C106" s="14">
        <v>65</v>
      </c>
      <c r="D106" s="14">
        <v>39.6</v>
      </c>
      <c r="E106" s="14">
        <v>0.93</v>
      </c>
      <c r="F106" s="14">
        <v>27</v>
      </c>
      <c r="G106" s="14">
        <v>0</v>
      </c>
      <c r="H106" s="14">
        <v>85</v>
      </c>
      <c r="I106" s="14"/>
    </row>
    <row r="107" spans="1:9" x14ac:dyDescent="0.3">
      <c r="A107" s="14">
        <v>1</v>
      </c>
      <c r="B107" s="14">
        <v>126</v>
      </c>
      <c r="C107" s="14">
        <v>56</v>
      </c>
      <c r="D107" s="14">
        <v>28.7</v>
      </c>
      <c r="E107" s="14">
        <v>0.80100000000000005</v>
      </c>
      <c r="F107" s="14">
        <v>21</v>
      </c>
      <c r="G107" s="14">
        <v>0</v>
      </c>
      <c r="H107" s="14">
        <v>126</v>
      </c>
      <c r="I107" s="14"/>
    </row>
    <row r="108" spans="1:9" x14ac:dyDescent="0.3">
      <c r="A108" s="14">
        <v>1</v>
      </c>
      <c r="B108" s="14">
        <v>96</v>
      </c>
      <c r="C108" s="14">
        <v>122</v>
      </c>
      <c r="D108" s="14">
        <v>22.4</v>
      </c>
      <c r="E108" s="14">
        <v>0.20699999999999999</v>
      </c>
      <c r="F108" s="14">
        <v>27</v>
      </c>
      <c r="G108" s="14">
        <v>0</v>
      </c>
      <c r="H108" s="14">
        <v>96</v>
      </c>
      <c r="I108" s="14"/>
    </row>
    <row r="109" spans="1:9" x14ac:dyDescent="0.3">
      <c r="A109" s="14">
        <v>4</v>
      </c>
      <c r="B109" s="14">
        <v>144</v>
      </c>
      <c r="C109" s="14">
        <v>58</v>
      </c>
      <c r="D109" s="14">
        <v>29.5</v>
      </c>
      <c r="E109" s="14">
        <v>0.28699999999999998</v>
      </c>
      <c r="F109" s="14">
        <v>37</v>
      </c>
      <c r="G109" s="14">
        <v>0</v>
      </c>
      <c r="H109" s="14">
        <v>144</v>
      </c>
      <c r="I109" s="14"/>
    </row>
    <row r="110" spans="1:9" x14ac:dyDescent="0.3">
      <c r="A110" s="14">
        <v>3</v>
      </c>
      <c r="B110" s="14">
        <v>83</v>
      </c>
      <c r="C110" s="14">
        <v>58</v>
      </c>
      <c r="D110" s="14">
        <v>34.299999999999997</v>
      </c>
      <c r="E110" s="14">
        <v>0.33600000000000002</v>
      </c>
      <c r="F110" s="14">
        <v>25</v>
      </c>
      <c r="G110" s="14">
        <v>0</v>
      </c>
      <c r="H110" s="14">
        <v>83</v>
      </c>
      <c r="I110" s="14"/>
    </row>
    <row r="111" spans="1:9" x14ac:dyDescent="0.3">
      <c r="A111" s="14">
        <v>0</v>
      </c>
      <c r="B111" s="14">
        <v>95</v>
      </c>
      <c r="C111" s="14">
        <v>85</v>
      </c>
      <c r="D111" s="14">
        <v>37.4</v>
      </c>
      <c r="E111" s="14">
        <v>0.247</v>
      </c>
      <c r="F111" s="14">
        <v>24</v>
      </c>
      <c r="G111" s="14">
        <v>1</v>
      </c>
      <c r="H111" s="14" t="s">
        <v>36</v>
      </c>
      <c r="I111" s="14">
        <v>95</v>
      </c>
    </row>
    <row r="112" spans="1:9" x14ac:dyDescent="0.3">
      <c r="A112" s="14">
        <v>3</v>
      </c>
      <c r="B112" s="14">
        <v>171</v>
      </c>
      <c r="C112" s="14">
        <v>72</v>
      </c>
      <c r="D112" s="14">
        <v>33.299999999999997</v>
      </c>
      <c r="E112" s="14">
        <v>0.19900000000000001</v>
      </c>
      <c r="F112" s="14">
        <v>24</v>
      </c>
      <c r="G112" s="14">
        <v>1</v>
      </c>
      <c r="H112" s="14" t="s">
        <v>36</v>
      </c>
      <c r="I112" s="14">
        <v>171</v>
      </c>
    </row>
    <row r="113" spans="1:9" x14ac:dyDescent="0.3">
      <c r="A113" s="14">
        <v>8</v>
      </c>
      <c r="B113" s="14">
        <v>155</v>
      </c>
      <c r="C113" s="14">
        <v>62</v>
      </c>
      <c r="D113" s="14">
        <v>34</v>
      </c>
      <c r="E113" s="14">
        <v>0.54300000000000004</v>
      </c>
      <c r="F113" s="14">
        <v>46</v>
      </c>
      <c r="G113" s="14">
        <v>1</v>
      </c>
      <c r="H113" s="14" t="s">
        <v>36</v>
      </c>
      <c r="I113" s="14">
        <v>155</v>
      </c>
    </row>
    <row r="114" spans="1:9" x14ac:dyDescent="0.3">
      <c r="A114" s="14">
        <v>1</v>
      </c>
      <c r="B114" s="14">
        <v>89</v>
      </c>
      <c r="C114" s="14">
        <v>76</v>
      </c>
      <c r="D114" s="14">
        <v>31.2</v>
      </c>
      <c r="E114" s="14">
        <v>0.192</v>
      </c>
      <c r="F114" s="14">
        <v>23</v>
      </c>
      <c r="G114" s="14">
        <v>0</v>
      </c>
      <c r="H114" s="14">
        <v>89</v>
      </c>
      <c r="I114" s="14"/>
    </row>
    <row r="115" spans="1:9" x14ac:dyDescent="0.3">
      <c r="A115" s="14">
        <v>4</v>
      </c>
      <c r="B115" s="14">
        <v>76</v>
      </c>
      <c r="C115" s="14">
        <v>62</v>
      </c>
      <c r="D115" s="14">
        <v>34</v>
      </c>
      <c r="E115" s="14">
        <v>0.39100000000000001</v>
      </c>
      <c r="F115" s="14">
        <v>25</v>
      </c>
      <c r="G115" s="14">
        <v>0</v>
      </c>
      <c r="H115" s="14">
        <v>76</v>
      </c>
      <c r="I115" s="14"/>
    </row>
    <row r="116" spans="1:9" x14ac:dyDescent="0.3">
      <c r="A116" s="14">
        <v>7</v>
      </c>
      <c r="B116" s="14">
        <v>160</v>
      </c>
      <c r="C116" s="14">
        <v>54</v>
      </c>
      <c r="D116" s="14">
        <v>30.5</v>
      </c>
      <c r="E116" s="14">
        <v>0.58799999999999997</v>
      </c>
      <c r="F116" s="14">
        <v>39</v>
      </c>
      <c r="G116" s="14">
        <v>1</v>
      </c>
      <c r="H116" s="14" t="s">
        <v>36</v>
      </c>
      <c r="I116" s="14">
        <v>160</v>
      </c>
    </row>
    <row r="117" spans="1:9" x14ac:dyDescent="0.3">
      <c r="A117" s="14">
        <v>4</v>
      </c>
      <c r="B117" s="14">
        <v>146</v>
      </c>
      <c r="C117" s="14">
        <v>92</v>
      </c>
      <c r="D117" s="14">
        <v>31.2</v>
      </c>
      <c r="E117" s="14">
        <v>0.53900000000000003</v>
      </c>
      <c r="F117" s="14">
        <v>61</v>
      </c>
      <c r="G117" s="14">
        <v>1</v>
      </c>
      <c r="H117" s="14" t="s">
        <v>36</v>
      </c>
      <c r="I117" s="14">
        <v>146</v>
      </c>
    </row>
    <row r="118" spans="1:9" x14ac:dyDescent="0.3">
      <c r="A118" s="14">
        <v>5</v>
      </c>
      <c r="B118" s="14">
        <v>124</v>
      </c>
      <c r="C118" s="14">
        <v>74</v>
      </c>
      <c r="D118" s="14">
        <v>34</v>
      </c>
      <c r="E118" s="14">
        <v>0.22</v>
      </c>
      <c r="F118" s="14">
        <v>38</v>
      </c>
      <c r="G118" s="14">
        <v>1</v>
      </c>
      <c r="H118" s="14" t="s">
        <v>36</v>
      </c>
      <c r="I118" s="14">
        <v>124</v>
      </c>
    </row>
    <row r="119" spans="1:9" x14ac:dyDescent="0.3">
      <c r="A119" s="14">
        <v>5</v>
      </c>
      <c r="B119" s="14">
        <v>78</v>
      </c>
      <c r="C119" s="14">
        <v>48</v>
      </c>
      <c r="D119" s="14">
        <v>33.700000000000003</v>
      </c>
      <c r="E119" s="14">
        <v>0.65400000000000003</v>
      </c>
      <c r="F119" s="14">
        <v>25</v>
      </c>
      <c r="G119" s="14">
        <v>0</v>
      </c>
      <c r="H119" s="14">
        <v>78</v>
      </c>
      <c r="I119" s="14"/>
    </row>
    <row r="120" spans="1:9" x14ac:dyDescent="0.3">
      <c r="A120" s="14">
        <v>4</v>
      </c>
      <c r="B120" s="14">
        <v>97</v>
      </c>
      <c r="C120" s="14">
        <v>60</v>
      </c>
      <c r="D120" s="14">
        <v>28.2</v>
      </c>
      <c r="E120" s="14">
        <v>0.443</v>
      </c>
      <c r="F120" s="14">
        <v>22</v>
      </c>
      <c r="G120" s="14">
        <v>0</v>
      </c>
      <c r="H120" s="14">
        <v>97</v>
      </c>
      <c r="I120" s="14"/>
    </row>
    <row r="121" spans="1:9" x14ac:dyDescent="0.3">
      <c r="A121" s="14">
        <v>4</v>
      </c>
      <c r="B121" s="14">
        <v>99</v>
      </c>
      <c r="C121" s="14">
        <v>76</v>
      </c>
      <c r="D121" s="14">
        <v>23.2</v>
      </c>
      <c r="E121" s="14">
        <v>0.223</v>
      </c>
      <c r="F121" s="14">
        <v>21</v>
      </c>
      <c r="G121" s="14">
        <v>0</v>
      </c>
      <c r="H121" s="14">
        <v>99</v>
      </c>
      <c r="I121" s="14"/>
    </row>
    <row r="122" spans="1:9" x14ac:dyDescent="0.3">
      <c r="A122" s="14">
        <v>0</v>
      </c>
      <c r="B122" s="14">
        <v>162</v>
      </c>
      <c r="C122" s="14">
        <v>76</v>
      </c>
      <c r="D122" s="14">
        <v>53.2</v>
      </c>
      <c r="E122" s="14">
        <v>0.75900000000000001</v>
      </c>
      <c r="F122" s="14">
        <v>25</v>
      </c>
      <c r="G122" s="14">
        <v>1</v>
      </c>
      <c r="H122" s="14" t="s">
        <v>36</v>
      </c>
      <c r="I122" s="14">
        <v>162</v>
      </c>
    </row>
    <row r="123" spans="1:9" x14ac:dyDescent="0.3">
      <c r="A123" s="14">
        <v>6</v>
      </c>
      <c r="B123" s="14">
        <v>111</v>
      </c>
      <c r="C123" s="14">
        <v>64</v>
      </c>
      <c r="D123" s="14">
        <v>34.200000000000003</v>
      </c>
      <c r="E123" s="14">
        <v>0.26</v>
      </c>
      <c r="F123" s="14">
        <v>24</v>
      </c>
      <c r="G123" s="14">
        <v>0</v>
      </c>
      <c r="H123" s="14">
        <v>111</v>
      </c>
      <c r="I123" s="14"/>
    </row>
    <row r="124" spans="1:9" x14ac:dyDescent="0.3">
      <c r="A124" s="14">
        <v>2</v>
      </c>
      <c r="B124" s="14">
        <v>107</v>
      </c>
      <c r="C124" s="14">
        <v>74</v>
      </c>
      <c r="D124" s="14">
        <v>33.6</v>
      </c>
      <c r="E124" s="14">
        <v>0.40400000000000003</v>
      </c>
      <c r="F124" s="14">
        <v>23</v>
      </c>
      <c r="G124" s="14">
        <v>0</v>
      </c>
      <c r="H124" s="14">
        <v>107</v>
      </c>
      <c r="I124" s="14"/>
    </row>
    <row r="125" spans="1:9" x14ac:dyDescent="0.3">
      <c r="A125" s="14">
        <v>5</v>
      </c>
      <c r="B125" s="14">
        <v>132</v>
      </c>
      <c r="C125" s="14">
        <v>80</v>
      </c>
      <c r="D125" s="14">
        <v>26.8</v>
      </c>
      <c r="E125" s="14">
        <v>0.186</v>
      </c>
      <c r="F125" s="14">
        <v>69</v>
      </c>
      <c r="G125" s="14">
        <v>0</v>
      </c>
      <c r="H125" s="14">
        <v>132</v>
      </c>
      <c r="I125" s="14"/>
    </row>
    <row r="126" spans="1:9" x14ac:dyDescent="0.3">
      <c r="A126" s="14">
        <v>0</v>
      </c>
      <c r="B126" s="14">
        <v>113</v>
      </c>
      <c r="C126" s="14">
        <v>76</v>
      </c>
      <c r="D126" s="14">
        <v>33.299999999999997</v>
      </c>
      <c r="E126" s="14">
        <v>0.27800000000000002</v>
      </c>
      <c r="F126" s="14">
        <v>23</v>
      </c>
      <c r="G126" s="14">
        <v>1</v>
      </c>
      <c r="H126" s="14" t="s">
        <v>36</v>
      </c>
      <c r="I126" s="14">
        <v>113</v>
      </c>
    </row>
    <row r="127" spans="1:9" x14ac:dyDescent="0.3">
      <c r="A127" s="14">
        <v>1</v>
      </c>
      <c r="B127" s="14">
        <v>88</v>
      </c>
      <c r="C127" s="14">
        <v>30</v>
      </c>
      <c r="D127" s="14">
        <v>55</v>
      </c>
      <c r="E127" s="14">
        <v>0.496</v>
      </c>
      <c r="F127" s="14">
        <v>26</v>
      </c>
      <c r="G127" s="14">
        <v>1</v>
      </c>
      <c r="H127" s="14" t="s">
        <v>36</v>
      </c>
      <c r="I127" s="14">
        <v>88</v>
      </c>
    </row>
    <row r="128" spans="1:9" x14ac:dyDescent="0.3">
      <c r="A128" s="14">
        <v>3</v>
      </c>
      <c r="B128" s="14">
        <v>120</v>
      </c>
      <c r="C128" s="14">
        <v>70</v>
      </c>
      <c r="D128" s="14">
        <v>42.9</v>
      </c>
      <c r="E128" s="14">
        <v>0.45200000000000001</v>
      </c>
      <c r="F128" s="14">
        <v>30</v>
      </c>
      <c r="G128" s="14">
        <v>0</v>
      </c>
      <c r="H128" s="14">
        <v>120</v>
      </c>
      <c r="I128" s="14"/>
    </row>
    <row r="129" spans="1:9" x14ac:dyDescent="0.3">
      <c r="A129" s="14">
        <v>1</v>
      </c>
      <c r="B129" s="14">
        <v>118</v>
      </c>
      <c r="C129" s="14">
        <v>58</v>
      </c>
      <c r="D129" s="14">
        <v>33.299999999999997</v>
      </c>
      <c r="E129" s="14">
        <v>0.26100000000000001</v>
      </c>
      <c r="F129" s="14">
        <v>23</v>
      </c>
      <c r="G129" s="14">
        <v>0</v>
      </c>
      <c r="H129" s="14">
        <v>118</v>
      </c>
      <c r="I129" s="14"/>
    </row>
    <row r="130" spans="1:9" x14ac:dyDescent="0.3">
      <c r="A130" s="14">
        <v>1</v>
      </c>
      <c r="B130" s="14">
        <v>117</v>
      </c>
      <c r="C130" s="14">
        <v>88</v>
      </c>
      <c r="D130" s="14">
        <v>34.5</v>
      </c>
      <c r="E130" s="14">
        <v>0.40300000000000002</v>
      </c>
      <c r="F130" s="14">
        <v>40</v>
      </c>
      <c r="G130" s="14">
        <v>1</v>
      </c>
      <c r="H130" s="14" t="s">
        <v>36</v>
      </c>
      <c r="I130" s="14">
        <v>117</v>
      </c>
    </row>
    <row r="131" spans="1:9" x14ac:dyDescent="0.3">
      <c r="A131" s="14">
        <v>0</v>
      </c>
      <c r="B131" s="14">
        <v>105</v>
      </c>
      <c r="C131" s="14">
        <v>84</v>
      </c>
      <c r="D131" s="14">
        <v>27.9</v>
      </c>
      <c r="E131" s="14">
        <v>0.74099999999999999</v>
      </c>
      <c r="F131" s="14">
        <v>62</v>
      </c>
      <c r="G131" s="14">
        <v>1</v>
      </c>
      <c r="H131" s="14" t="s">
        <v>36</v>
      </c>
      <c r="I131" s="14">
        <v>105</v>
      </c>
    </row>
    <row r="132" spans="1:9" x14ac:dyDescent="0.3">
      <c r="A132" s="14">
        <v>4</v>
      </c>
      <c r="B132" s="14">
        <v>173</v>
      </c>
      <c r="C132" s="14">
        <v>70</v>
      </c>
      <c r="D132" s="14">
        <v>29.7</v>
      </c>
      <c r="E132" s="14">
        <v>0.36099999999999999</v>
      </c>
      <c r="F132" s="14">
        <v>33</v>
      </c>
      <c r="G132" s="14">
        <v>1</v>
      </c>
      <c r="H132" s="14" t="s">
        <v>36</v>
      </c>
      <c r="I132" s="14">
        <v>173</v>
      </c>
    </row>
    <row r="133" spans="1:9" x14ac:dyDescent="0.3">
      <c r="A133" s="14">
        <v>9</v>
      </c>
      <c r="B133" s="14">
        <v>122</v>
      </c>
      <c r="C133" s="14">
        <v>56</v>
      </c>
      <c r="D133" s="14">
        <v>33.299999999999997</v>
      </c>
      <c r="E133" s="14">
        <v>1.1140000000000001</v>
      </c>
      <c r="F133" s="14">
        <v>33</v>
      </c>
      <c r="G133" s="14">
        <v>1</v>
      </c>
      <c r="H133" s="14" t="s">
        <v>36</v>
      </c>
      <c r="I133" s="14">
        <v>122</v>
      </c>
    </row>
    <row r="134" spans="1:9" x14ac:dyDescent="0.3">
      <c r="A134" s="14">
        <v>3</v>
      </c>
      <c r="B134" s="14">
        <v>170</v>
      </c>
      <c r="C134" s="14">
        <v>64</v>
      </c>
      <c r="D134" s="14">
        <v>34.5</v>
      </c>
      <c r="E134" s="14">
        <v>0.35599999999999998</v>
      </c>
      <c r="F134" s="14">
        <v>30</v>
      </c>
      <c r="G134" s="14">
        <v>1</v>
      </c>
      <c r="H134" s="14" t="s">
        <v>36</v>
      </c>
      <c r="I134" s="14">
        <v>170</v>
      </c>
    </row>
    <row r="135" spans="1:9" x14ac:dyDescent="0.3">
      <c r="A135" s="14">
        <v>8</v>
      </c>
      <c r="B135" s="14">
        <v>84</v>
      </c>
      <c r="C135" s="14">
        <v>74</v>
      </c>
      <c r="D135" s="14">
        <v>38.299999999999997</v>
      </c>
      <c r="E135" s="14">
        <v>0.45700000000000002</v>
      </c>
      <c r="F135" s="14">
        <v>39</v>
      </c>
      <c r="G135" s="14">
        <v>0</v>
      </c>
      <c r="H135" s="14">
        <v>84</v>
      </c>
      <c r="I135" s="14"/>
    </row>
    <row r="136" spans="1:9" x14ac:dyDescent="0.3">
      <c r="A136" s="14">
        <v>2</v>
      </c>
      <c r="B136" s="14">
        <v>96</v>
      </c>
      <c r="C136" s="14">
        <v>68</v>
      </c>
      <c r="D136" s="14">
        <v>21.1</v>
      </c>
      <c r="E136" s="14">
        <v>0.64700000000000002</v>
      </c>
      <c r="F136" s="14">
        <v>26</v>
      </c>
      <c r="G136" s="14">
        <v>0</v>
      </c>
      <c r="H136" s="14">
        <v>96</v>
      </c>
      <c r="I136" s="14"/>
    </row>
    <row r="137" spans="1:9" x14ac:dyDescent="0.3">
      <c r="A137" s="14">
        <v>2</v>
      </c>
      <c r="B137" s="14">
        <v>125</v>
      </c>
      <c r="C137" s="14">
        <v>60</v>
      </c>
      <c r="D137" s="14">
        <v>33.799999999999997</v>
      </c>
      <c r="E137" s="14">
        <v>8.7999999999999995E-2</v>
      </c>
      <c r="F137" s="14">
        <v>31</v>
      </c>
      <c r="G137" s="14">
        <v>0</v>
      </c>
      <c r="H137" s="14">
        <v>125</v>
      </c>
      <c r="I137" s="14"/>
    </row>
    <row r="138" spans="1:9" x14ac:dyDescent="0.3">
      <c r="A138" s="14">
        <v>0</v>
      </c>
      <c r="B138" s="14">
        <v>100</v>
      </c>
      <c r="C138" s="14">
        <v>70</v>
      </c>
      <c r="D138" s="14">
        <v>30.8</v>
      </c>
      <c r="E138" s="14">
        <v>0.59699999999999998</v>
      </c>
      <c r="F138" s="14">
        <v>21</v>
      </c>
      <c r="G138" s="14">
        <v>0</v>
      </c>
      <c r="H138" s="14">
        <v>100</v>
      </c>
      <c r="I138" s="14"/>
    </row>
    <row r="139" spans="1:9" x14ac:dyDescent="0.3">
      <c r="A139" s="14">
        <v>0</v>
      </c>
      <c r="B139" s="14">
        <v>93</v>
      </c>
      <c r="C139" s="14">
        <v>60</v>
      </c>
      <c r="D139" s="14">
        <v>28.7</v>
      </c>
      <c r="E139" s="14">
        <v>0.53200000000000003</v>
      </c>
      <c r="F139" s="14">
        <v>22</v>
      </c>
      <c r="G139" s="14">
        <v>0</v>
      </c>
      <c r="H139" s="14">
        <v>93</v>
      </c>
      <c r="I139" s="14"/>
    </row>
    <row r="140" spans="1:9" x14ac:dyDescent="0.3">
      <c r="A140" s="14">
        <v>0</v>
      </c>
      <c r="B140" s="14">
        <v>129</v>
      </c>
      <c r="C140" s="14">
        <v>80</v>
      </c>
      <c r="D140" s="14">
        <v>31.2</v>
      </c>
      <c r="E140" s="14">
        <v>0.70299999999999996</v>
      </c>
      <c r="F140" s="14">
        <v>29</v>
      </c>
      <c r="G140" s="14">
        <v>0</v>
      </c>
      <c r="H140" s="14">
        <v>129</v>
      </c>
      <c r="I140" s="14"/>
    </row>
    <row r="141" spans="1:9" x14ac:dyDescent="0.3">
      <c r="A141" s="14">
        <v>5</v>
      </c>
      <c r="B141" s="14">
        <v>105</v>
      </c>
      <c r="C141" s="14">
        <v>72</v>
      </c>
      <c r="D141" s="14">
        <v>36.9</v>
      </c>
      <c r="E141" s="14">
        <v>0.159</v>
      </c>
      <c r="F141" s="14">
        <v>28</v>
      </c>
      <c r="G141" s="14">
        <v>0</v>
      </c>
      <c r="H141" s="14">
        <v>105</v>
      </c>
      <c r="I141" s="14"/>
    </row>
    <row r="142" spans="1:9" x14ac:dyDescent="0.3">
      <c r="A142" s="14">
        <v>3</v>
      </c>
      <c r="B142" s="14">
        <v>128</v>
      </c>
      <c r="C142" s="14">
        <v>78</v>
      </c>
      <c r="D142" s="14">
        <v>21.1</v>
      </c>
      <c r="E142" s="14">
        <v>0.26800000000000002</v>
      </c>
      <c r="F142" s="14">
        <v>55</v>
      </c>
      <c r="G142" s="14">
        <v>0</v>
      </c>
      <c r="H142" s="14">
        <v>128</v>
      </c>
      <c r="I142" s="14"/>
    </row>
    <row r="143" spans="1:9" x14ac:dyDescent="0.3">
      <c r="A143" s="14">
        <v>5</v>
      </c>
      <c r="B143" s="14">
        <v>106</v>
      </c>
      <c r="C143" s="14">
        <v>82</v>
      </c>
      <c r="D143" s="14">
        <v>39.5</v>
      </c>
      <c r="E143" s="14">
        <v>0.28599999999999998</v>
      </c>
      <c r="F143" s="14">
        <v>38</v>
      </c>
      <c r="G143" s="14">
        <v>0</v>
      </c>
      <c r="H143" s="14">
        <v>106</v>
      </c>
      <c r="I143" s="14"/>
    </row>
    <row r="144" spans="1:9" x14ac:dyDescent="0.3">
      <c r="A144" s="14">
        <v>2</v>
      </c>
      <c r="B144" s="14">
        <v>108</v>
      </c>
      <c r="C144" s="14">
        <v>52</v>
      </c>
      <c r="D144" s="14">
        <v>32.5</v>
      </c>
      <c r="E144" s="14">
        <v>0.318</v>
      </c>
      <c r="F144" s="14">
        <v>22</v>
      </c>
      <c r="G144" s="14">
        <v>0</v>
      </c>
      <c r="H144" s="14">
        <v>108</v>
      </c>
      <c r="I144" s="14"/>
    </row>
    <row r="145" spans="1:9" x14ac:dyDescent="0.3">
      <c r="A145" s="14">
        <v>10</v>
      </c>
      <c r="B145" s="14">
        <v>108</v>
      </c>
      <c r="C145" s="14">
        <v>66</v>
      </c>
      <c r="D145" s="14">
        <v>32.4</v>
      </c>
      <c r="E145" s="14">
        <v>0.27200000000000002</v>
      </c>
      <c r="F145" s="14">
        <v>42</v>
      </c>
      <c r="G145" s="14">
        <v>1</v>
      </c>
      <c r="H145" s="14" t="s">
        <v>36</v>
      </c>
      <c r="I145" s="14">
        <v>108</v>
      </c>
    </row>
    <row r="146" spans="1:9" x14ac:dyDescent="0.3">
      <c r="A146" s="14">
        <v>4</v>
      </c>
      <c r="B146" s="14">
        <v>154</v>
      </c>
      <c r="C146" s="14">
        <v>62</v>
      </c>
      <c r="D146" s="14">
        <v>32.799999999999997</v>
      </c>
      <c r="E146" s="14">
        <v>0.23699999999999999</v>
      </c>
      <c r="F146" s="14">
        <v>23</v>
      </c>
      <c r="G146" s="14">
        <v>0</v>
      </c>
      <c r="H146" s="14">
        <v>154</v>
      </c>
      <c r="I146" s="14"/>
    </row>
    <row r="147" spans="1:9" x14ac:dyDescent="0.3">
      <c r="A147" s="14">
        <v>0</v>
      </c>
      <c r="B147" s="14">
        <v>102</v>
      </c>
      <c r="C147" s="14">
        <v>75</v>
      </c>
      <c r="D147" s="14">
        <v>32</v>
      </c>
      <c r="E147" s="14">
        <v>0.57199999999999995</v>
      </c>
      <c r="F147" s="14">
        <v>21</v>
      </c>
      <c r="G147" s="14">
        <v>0</v>
      </c>
      <c r="H147" s="14">
        <v>102</v>
      </c>
      <c r="I147" s="14"/>
    </row>
    <row r="148" spans="1:9" x14ac:dyDescent="0.3">
      <c r="A148" s="14">
        <v>9</v>
      </c>
      <c r="B148" s="14">
        <v>57</v>
      </c>
      <c r="C148" s="14">
        <v>80</v>
      </c>
      <c r="D148" s="14">
        <v>32.799999999999997</v>
      </c>
      <c r="E148" s="14">
        <v>9.6000000000000002E-2</v>
      </c>
      <c r="F148" s="14">
        <v>41</v>
      </c>
      <c r="G148" s="14">
        <v>0</v>
      </c>
      <c r="H148" s="14">
        <v>57</v>
      </c>
      <c r="I148" s="14"/>
    </row>
    <row r="149" spans="1:9" x14ac:dyDescent="0.3">
      <c r="A149" s="14">
        <v>2</v>
      </c>
      <c r="B149" s="14">
        <v>106</v>
      </c>
      <c r="C149" s="14">
        <v>64</v>
      </c>
      <c r="D149" s="14">
        <v>30.5</v>
      </c>
      <c r="E149" s="14">
        <v>1.4</v>
      </c>
      <c r="F149" s="14">
        <v>34</v>
      </c>
      <c r="G149" s="14">
        <v>0</v>
      </c>
      <c r="H149" s="14">
        <v>106</v>
      </c>
      <c r="I149" s="14"/>
    </row>
    <row r="150" spans="1:9" x14ac:dyDescent="0.3">
      <c r="A150" s="14">
        <v>5</v>
      </c>
      <c r="B150" s="14">
        <v>147</v>
      </c>
      <c r="C150" s="14">
        <v>78</v>
      </c>
      <c r="D150" s="14">
        <v>33.700000000000003</v>
      </c>
      <c r="E150" s="14">
        <v>0.218</v>
      </c>
      <c r="F150" s="14">
        <v>65</v>
      </c>
      <c r="G150" s="14">
        <v>0</v>
      </c>
      <c r="H150" s="14">
        <v>147</v>
      </c>
      <c r="I150" s="14"/>
    </row>
    <row r="151" spans="1:9" x14ac:dyDescent="0.3">
      <c r="A151" s="14">
        <v>2</v>
      </c>
      <c r="B151" s="14">
        <v>90</v>
      </c>
      <c r="C151" s="14">
        <v>70</v>
      </c>
      <c r="D151" s="14">
        <v>27.3</v>
      </c>
      <c r="E151" s="14">
        <v>8.5000000000000006E-2</v>
      </c>
      <c r="F151" s="14">
        <v>22</v>
      </c>
      <c r="G151" s="14">
        <v>0</v>
      </c>
      <c r="H151" s="14">
        <v>90</v>
      </c>
      <c r="I151" s="14"/>
    </row>
    <row r="152" spans="1:9" x14ac:dyDescent="0.3">
      <c r="A152" s="14">
        <v>1</v>
      </c>
      <c r="B152" s="14">
        <v>136</v>
      </c>
      <c r="C152" s="14">
        <v>74</v>
      </c>
      <c r="D152" s="14">
        <v>37.4</v>
      </c>
      <c r="E152" s="14">
        <v>0.39900000000000002</v>
      </c>
      <c r="F152" s="14">
        <v>24</v>
      </c>
      <c r="G152" s="14">
        <v>0</v>
      </c>
      <c r="H152" s="14">
        <v>136</v>
      </c>
      <c r="I152" s="14"/>
    </row>
    <row r="153" spans="1:9" x14ac:dyDescent="0.3">
      <c r="A153" s="14">
        <v>4</v>
      </c>
      <c r="B153" s="14">
        <v>114</v>
      </c>
      <c r="C153" s="14">
        <v>65</v>
      </c>
      <c r="D153" s="14">
        <v>21.9</v>
      </c>
      <c r="E153" s="14">
        <v>0.432</v>
      </c>
      <c r="F153" s="14">
        <v>37</v>
      </c>
      <c r="G153" s="14">
        <v>0</v>
      </c>
      <c r="H153" s="14">
        <v>114</v>
      </c>
      <c r="I153" s="14"/>
    </row>
    <row r="154" spans="1:9" x14ac:dyDescent="0.3">
      <c r="A154" s="14">
        <v>9</v>
      </c>
      <c r="B154" s="14">
        <v>156</v>
      </c>
      <c r="C154" s="14">
        <v>86</v>
      </c>
      <c r="D154" s="14">
        <v>34.299999999999997</v>
      </c>
      <c r="E154" s="14">
        <v>1.1890000000000001</v>
      </c>
      <c r="F154" s="14">
        <v>42</v>
      </c>
      <c r="G154" s="14">
        <v>1</v>
      </c>
      <c r="H154" s="14" t="s">
        <v>36</v>
      </c>
      <c r="I154" s="14">
        <v>156</v>
      </c>
    </row>
    <row r="155" spans="1:9" x14ac:dyDescent="0.3">
      <c r="A155" s="14">
        <v>1</v>
      </c>
      <c r="B155" s="14">
        <v>153</v>
      </c>
      <c r="C155" s="14">
        <v>82</v>
      </c>
      <c r="D155" s="14">
        <v>40.6</v>
      </c>
      <c r="E155" s="14">
        <v>0.68700000000000006</v>
      </c>
      <c r="F155" s="14">
        <v>23</v>
      </c>
      <c r="G155" s="14">
        <v>0</v>
      </c>
      <c r="H155" s="14">
        <v>153</v>
      </c>
      <c r="I155" s="14"/>
    </row>
    <row r="156" spans="1:9" x14ac:dyDescent="0.3">
      <c r="A156" s="14">
        <v>8</v>
      </c>
      <c r="B156" s="14">
        <v>188</v>
      </c>
      <c r="C156" s="14">
        <v>78</v>
      </c>
      <c r="D156" s="14">
        <v>47.9</v>
      </c>
      <c r="E156" s="14">
        <v>0.13700000000000001</v>
      </c>
      <c r="F156" s="14">
        <v>43</v>
      </c>
      <c r="G156" s="14">
        <v>1</v>
      </c>
      <c r="H156" s="14" t="s">
        <v>36</v>
      </c>
      <c r="I156" s="14">
        <v>188</v>
      </c>
    </row>
    <row r="157" spans="1:9" x14ac:dyDescent="0.3">
      <c r="A157" s="14">
        <v>7</v>
      </c>
      <c r="B157" s="14">
        <v>152</v>
      </c>
      <c r="C157" s="14">
        <v>88</v>
      </c>
      <c r="D157" s="14">
        <v>50</v>
      </c>
      <c r="E157" s="14">
        <v>0.33700000000000002</v>
      </c>
      <c r="F157" s="14">
        <v>36</v>
      </c>
      <c r="G157" s="14">
        <v>1</v>
      </c>
      <c r="H157" s="14" t="s">
        <v>36</v>
      </c>
      <c r="I157" s="14">
        <v>152</v>
      </c>
    </row>
    <row r="158" spans="1:9" x14ac:dyDescent="0.3">
      <c r="A158" s="14">
        <v>2</v>
      </c>
      <c r="B158" s="14">
        <v>99</v>
      </c>
      <c r="C158" s="14">
        <v>52</v>
      </c>
      <c r="D158" s="14">
        <v>24.6</v>
      </c>
      <c r="E158" s="14">
        <v>0.63700000000000001</v>
      </c>
      <c r="F158" s="14">
        <v>21</v>
      </c>
      <c r="G158" s="14">
        <v>0</v>
      </c>
      <c r="H158" s="14">
        <v>99</v>
      </c>
      <c r="I158" s="14"/>
    </row>
    <row r="159" spans="1:9" x14ac:dyDescent="0.3">
      <c r="A159" s="14">
        <v>1</v>
      </c>
      <c r="B159" s="14">
        <v>109</v>
      </c>
      <c r="C159" s="14">
        <v>56</v>
      </c>
      <c r="D159" s="14">
        <v>25.2</v>
      </c>
      <c r="E159" s="14">
        <v>0.83299999999999996</v>
      </c>
      <c r="F159" s="14">
        <v>23</v>
      </c>
      <c r="G159" s="14">
        <v>0</v>
      </c>
      <c r="H159" s="14">
        <v>109</v>
      </c>
      <c r="I159" s="14"/>
    </row>
    <row r="160" spans="1:9" x14ac:dyDescent="0.3">
      <c r="A160" s="14">
        <v>2</v>
      </c>
      <c r="B160" s="14">
        <v>88</v>
      </c>
      <c r="C160" s="14">
        <v>74</v>
      </c>
      <c r="D160" s="14">
        <v>29</v>
      </c>
      <c r="E160" s="14">
        <v>0.22900000000000001</v>
      </c>
      <c r="F160" s="14">
        <v>22</v>
      </c>
      <c r="G160" s="14">
        <v>0</v>
      </c>
      <c r="H160" s="14">
        <v>88</v>
      </c>
      <c r="I160" s="14"/>
    </row>
    <row r="161" spans="1:9" x14ac:dyDescent="0.3">
      <c r="A161" s="14">
        <v>17</v>
      </c>
      <c r="B161" s="14">
        <v>163</v>
      </c>
      <c r="C161" s="14">
        <v>72</v>
      </c>
      <c r="D161" s="14">
        <v>40.9</v>
      </c>
      <c r="E161" s="14">
        <v>0.81699999999999995</v>
      </c>
      <c r="F161" s="14">
        <v>47</v>
      </c>
      <c r="G161" s="14">
        <v>1</v>
      </c>
      <c r="H161" s="14" t="s">
        <v>36</v>
      </c>
      <c r="I161" s="14">
        <v>163</v>
      </c>
    </row>
    <row r="162" spans="1:9" x14ac:dyDescent="0.3">
      <c r="A162" s="14">
        <v>4</v>
      </c>
      <c r="B162" s="14">
        <v>151</v>
      </c>
      <c r="C162" s="14">
        <v>90</v>
      </c>
      <c r="D162" s="14">
        <v>29.7</v>
      </c>
      <c r="E162" s="14">
        <v>0.29399999999999998</v>
      </c>
      <c r="F162" s="14">
        <v>36</v>
      </c>
      <c r="G162" s="14">
        <v>0</v>
      </c>
      <c r="H162" s="14">
        <v>151</v>
      </c>
      <c r="I162" s="14"/>
    </row>
    <row r="163" spans="1:9" x14ac:dyDescent="0.3">
      <c r="A163" s="14">
        <v>7</v>
      </c>
      <c r="B163" s="14">
        <v>102</v>
      </c>
      <c r="C163" s="14">
        <v>74</v>
      </c>
      <c r="D163" s="14">
        <v>37.200000000000003</v>
      </c>
      <c r="E163" s="14">
        <v>0.20399999999999999</v>
      </c>
      <c r="F163" s="14">
        <v>45</v>
      </c>
      <c r="G163" s="14">
        <v>0</v>
      </c>
      <c r="H163" s="14">
        <v>102</v>
      </c>
      <c r="I163" s="14"/>
    </row>
    <row r="164" spans="1:9" x14ac:dyDescent="0.3">
      <c r="A164" s="14">
        <v>0</v>
      </c>
      <c r="B164" s="14">
        <v>114</v>
      </c>
      <c r="C164" s="14">
        <v>80</v>
      </c>
      <c r="D164" s="14">
        <v>44.2</v>
      </c>
      <c r="E164" s="14">
        <v>0.16700000000000001</v>
      </c>
      <c r="F164" s="14">
        <v>27</v>
      </c>
      <c r="G164" s="14">
        <v>0</v>
      </c>
      <c r="H164" s="14">
        <v>114</v>
      </c>
      <c r="I164" s="14"/>
    </row>
    <row r="165" spans="1:9" x14ac:dyDescent="0.3">
      <c r="A165" s="14">
        <v>2</v>
      </c>
      <c r="B165" s="14">
        <v>100</v>
      </c>
      <c r="C165" s="14">
        <v>64</v>
      </c>
      <c r="D165" s="14">
        <v>29.7</v>
      </c>
      <c r="E165" s="14">
        <v>0.36799999999999999</v>
      </c>
      <c r="F165" s="14">
        <v>21</v>
      </c>
      <c r="G165" s="14">
        <v>0</v>
      </c>
      <c r="H165" s="14">
        <v>100</v>
      </c>
      <c r="I165" s="14"/>
    </row>
    <row r="166" spans="1:9" x14ac:dyDescent="0.3">
      <c r="A166" s="14">
        <v>0</v>
      </c>
      <c r="B166" s="14">
        <v>131</v>
      </c>
      <c r="C166" s="14">
        <v>88</v>
      </c>
      <c r="D166" s="14">
        <v>31.6</v>
      </c>
      <c r="E166" s="14">
        <v>0.74299999999999999</v>
      </c>
      <c r="F166" s="14">
        <v>32</v>
      </c>
      <c r="G166" s="14">
        <v>1</v>
      </c>
      <c r="H166" s="14" t="s">
        <v>36</v>
      </c>
      <c r="I166" s="14">
        <v>131</v>
      </c>
    </row>
    <row r="167" spans="1:9" x14ac:dyDescent="0.3">
      <c r="A167" s="14">
        <v>6</v>
      </c>
      <c r="B167" s="14">
        <v>104</v>
      </c>
      <c r="C167" s="14">
        <v>74</v>
      </c>
      <c r="D167" s="14">
        <v>29.9</v>
      </c>
      <c r="E167" s="14">
        <v>0.72199999999999998</v>
      </c>
      <c r="F167" s="14">
        <v>41</v>
      </c>
      <c r="G167" s="14">
        <v>1</v>
      </c>
      <c r="H167" s="14" t="s">
        <v>36</v>
      </c>
      <c r="I167" s="14">
        <v>104</v>
      </c>
    </row>
    <row r="168" spans="1:9" x14ac:dyDescent="0.3">
      <c r="A168" s="14">
        <v>3</v>
      </c>
      <c r="B168" s="14">
        <v>148</v>
      </c>
      <c r="C168" s="14">
        <v>66</v>
      </c>
      <c r="D168" s="14">
        <v>32.5</v>
      </c>
      <c r="E168" s="14">
        <v>0.25600000000000001</v>
      </c>
      <c r="F168" s="14">
        <v>22</v>
      </c>
      <c r="G168" s="14">
        <v>0</v>
      </c>
      <c r="H168" s="14">
        <v>148</v>
      </c>
      <c r="I168" s="14"/>
    </row>
    <row r="169" spans="1:9" x14ac:dyDescent="0.3">
      <c r="A169" s="14">
        <v>4</v>
      </c>
      <c r="B169" s="14">
        <v>120</v>
      </c>
      <c r="C169" s="14">
        <v>68</v>
      </c>
      <c r="D169" s="14">
        <v>29.6</v>
      </c>
      <c r="E169" s="14">
        <v>0.70899999999999996</v>
      </c>
      <c r="F169" s="14">
        <v>34</v>
      </c>
      <c r="G169" s="14">
        <v>0</v>
      </c>
      <c r="H169" s="14">
        <v>120</v>
      </c>
      <c r="I169" s="14"/>
    </row>
    <row r="170" spans="1:9" x14ac:dyDescent="0.3">
      <c r="A170" s="14">
        <v>4</v>
      </c>
      <c r="B170" s="14">
        <v>110</v>
      </c>
      <c r="C170" s="14">
        <v>66</v>
      </c>
      <c r="D170" s="14">
        <v>31.9</v>
      </c>
      <c r="E170" s="14">
        <v>0.47099999999999997</v>
      </c>
      <c r="F170" s="14">
        <v>29</v>
      </c>
      <c r="G170" s="14">
        <v>0</v>
      </c>
      <c r="H170" s="14">
        <v>110</v>
      </c>
      <c r="I170" s="14"/>
    </row>
    <row r="171" spans="1:9" x14ac:dyDescent="0.3">
      <c r="A171" s="14">
        <v>3</v>
      </c>
      <c r="B171" s="14">
        <v>111</v>
      </c>
      <c r="C171" s="14">
        <v>90</v>
      </c>
      <c r="D171" s="14">
        <v>28.4</v>
      </c>
      <c r="E171" s="14">
        <v>0.495</v>
      </c>
      <c r="F171" s="14">
        <v>29</v>
      </c>
      <c r="G171" s="14">
        <v>0</v>
      </c>
      <c r="H171" s="14">
        <v>111</v>
      </c>
      <c r="I171" s="14"/>
    </row>
    <row r="172" spans="1:9" x14ac:dyDescent="0.3">
      <c r="A172" s="14">
        <v>6</v>
      </c>
      <c r="B172" s="14">
        <v>102</v>
      </c>
      <c r="C172" s="14">
        <v>82</v>
      </c>
      <c r="D172" s="14">
        <v>30.8</v>
      </c>
      <c r="E172" s="14">
        <v>0.18</v>
      </c>
      <c r="F172" s="14">
        <v>36</v>
      </c>
      <c r="G172" s="14">
        <v>1</v>
      </c>
      <c r="H172" s="14" t="s">
        <v>36</v>
      </c>
      <c r="I172" s="14">
        <v>102</v>
      </c>
    </row>
    <row r="173" spans="1:9" x14ac:dyDescent="0.3">
      <c r="A173" s="14">
        <v>6</v>
      </c>
      <c r="B173" s="14">
        <v>134</v>
      </c>
      <c r="C173" s="14">
        <v>70</v>
      </c>
      <c r="D173" s="14">
        <v>35.4</v>
      </c>
      <c r="E173" s="14">
        <v>0.54200000000000004</v>
      </c>
      <c r="F173" s="14">
        <v>29</v>
      </c>
      <c r="G173" s="14">
        <v>1</v>
      </c>
      <c r="H173" s="14" t="s">
        <v>36</v>
      </c>
      <c r="I173" s="14">
        <v>134</v>
      </c>
    </row>
    <row r="174" spans="1:9" x14ac:dyDescent="0.3">
      <c r="A174" s="14">
        <v>2</v>
      </c>
      <c r="B174" s="14">
        <v>87</v>
      </c>
      <c r="C174" s="14">
        <v>72</v>
      </c>
      <c r="D174" s="14">
        <v>28.9</v>
      </c>
      <c r="E174" s="14">
        <v>0.77300000000000002</v>
      </c>
      <c r="F174" s="14">
        <v>25</v>
      </c>
      <c r="G174" s="14">
        <v>0</v>
      </c>
      <c r="H174" s="14">
        <v>87</v>
      </c>
      <c r="I174" s="14"/>
    </row>
    <row r="175" spans="1:9" x14ac:dyDescent="0.3">
      <c r="A175" s="14">
        <v>1</v>
      </c>
      <c r="B175" s="14">
        <v>79</v>
      </c>
      <c r="C175" s="14">
        <v>60</v>
      </c>
      <c r="D175" s="14">
        <v>43.5</v>
      </c>
      <c r="E175" s="14">
        <v>0.67800000000000005</v>
      </c>
      <c r="F175" s="14">
        <v>23</v>
      </c>
      <c r="G175" s="14">
        <v>0</v>
      </c>
      <c r="H175" s="14">
        <v>79</v>
      </c>
      <c r="I175" s="14"/>
    </row>
    <row r="176" spans="1:9" x14ac:dyDescent="0.3">
      <c r="A176" s="14">
        <v>2</v>
      </c>
      <c r="B176" s="14">
        <v>75</v>
      </c>
      <c r="C176" s="14">
        <v>64</v>
      </c>
      <c r="D176" s="14">
        <v>29.7</v>
      </c>
      <c r="E176" s="14">
        <v>0.37</v>
      </c>
      <c r="F176" s="14">
        <v>33</v>
      </c>
      <c r="G176" s="14">
        <v>0</v>
      </c>
      <c r="H176" s="14">
        <v>75</v>
      </c>
      <c r="I176" s="14"/>
    </row>
    <row r="177" spans="1:9" x14ac:dyDescent="0.3">
      <c r="A177" s="14">
        <v>8</v>
      </c>
      <c r="B177" s="14">
        <v>179</v>
      </c>
      <c r="C177" s="14">
        <v>72</v>
      </c>
      <c r="D177" s="14">
        <v>32.700000000000003</v>
      </c>
      <c r="E177" s="14">
        <v>0.71899999999999997</v>
      </c>
      <c r="F177" s="14">
        <v>36</v>
      </c>
      <c r="G177" s="14">
        <v>1</v>
      </c>
      <c r="H177" s="14" t="s">
        <v>36</v>
      </c>
      <c r="I177" s="14">
        <v>179</v>
      </c>
    </row>
    <row r="178" spans="1:9" x14ac:dyDescent="0.3">
      <c r="A178" s="14">
        <v>6</v>
      </c>
      <c r="B178" s="14">
        <v>85</v>
      </c>
      <c r="C178" s="14">
        <v>78</v>
      </c>
      <c r="D178" s="14">
        <v>31.2</v>
      </c>
      <c r="E178" s="14">
        <v>0.38200000000000001</v>
      </c>
      <c r="F178" s="14">
        <v>42</v>
      </c>
      <c r="G178" s="14">
        <v>0</v>
      </c>
      <c r="H178" s="14">
        <v>85</v>
      </c>
      <c r="I178" s="14"/>
    </row>
    <row r="179" spans="1:9" x14ac:dyDescent="0.3">
      <c r="A179" s="14">
        <v>0</v>
      </c>
      <c r="B179" s="14">
        <v>129</v>
      </c>
      <c r="C179" s="14">
        <v>110</v>
      </c>
      <c r="D179" s="14">
        <v>67.099999999999994</v>
      </c>
      <c r="E179" s="14">
        <v>0.31900000000000001</v>
      </c>
      <c r="F179" s="14">
        <v>26</v>
      </c>
      <c r="G179" s="14">
        <v>1</v>
      </c>
      <c r="H179" s="14" t="s">
        <v>36</v>
      </c>
      <c r="I179" s="14">
        <v>129</v>
      </c>
    </row>
    <row r="180" spans="1:9" x14ac:dyDescent="0.3">
      <c r="A180" s="14">
        <v>5</v>
      </c>
      <c r="B180" s="14">
        <v>143</v>
      </c>
      <c r="C180" s="14">
        <v>78</v>
      </c>
      <c r="D180" s="14">
        <v>45</v>
      </c>
      <c r="E180" s="14">
        <v>0.19</v>
      </c>
      <c r="F180" s="14">
        <v>47</v>
      </c>
      <c r="G180" s="14">
        <v>0</v>
      </c>
      <c r="H180" s="14">
        <v>143</v>
      </c>
      <c r="I180" s="14"/>
    </row>
    <row r="181" spans="1:9" x14ac:dyDescent="0.3">
      <c r="A181" s="14">
        <v>5</v>
      </c>
      <c r="B181" s="14">
        <v>130</v>
      </c>
      <c r="C181" s="14">
        <v>82</v>
      </c>
      <c r="D181" s="14">
        <v>39.1</v>
      </c>
      <c r="E181" s="14">
        <v>0.95599999999999996</v>
      </c>
      <c r="F181" s="14">
        <v>37</v>
      </c>
      <c r="G181" s="14">
        <v>1</v>
      </c>
      <c r="H181" s="14" t="s">
        <v>36</v>
      </c>
      <c r="I181" s="14">
        <v>130</v>
      </c>
    </row>
    <row r="182" spans="1:9" x14ac:dyDescent="0.3">
      <c r="A182" s="14">
        <v>6</v>
      </c>
      <c r="B182" s="14">
        <v>87</v>
      </c>
      <c r="C182" s="14">
        <v>80</v>
      </c>
      <c r="D182" s="14">
        <v>23.2</v>
      </c>
      <c r="E182" s="14">
        <v>8.4000000000000005E-2</v>
      </c>
      <c r="F182" s="14">
        <v>32</v>
      </c>
      <c r="G182" s="14">
        <v>0</v>
      </c>
      <c r="H182" s="14">
        <v>87</v>
      </c>
      <c r="I182" s="14"/>
    </row>
    <row r="183" spans="1:9" x14ac:dyDescent="0.3">
      <c r="A183" s="14">
        <v>0</v>
      </c>
      <c r="B183" s="14">
        <v>119</v>
      </c>
      <c r="C183" s="14">
        <v>64</v>
      </c>
      <c r="D183" s="14">
        <v>34.9</v>
      </c>
      <c r="E183" s="14">
        <v>0.72499999999999998</v>
      </c>
      <c r="F183" s="14">
        <v>23</v>
      </c>
      <c r="G183" s="14">
        <v>0</v>
      </c>
      <c r="H183" s="14">
        <v>119</v>
      </c>
      <c r="I183" s="14"/>
    </row>
    <row r="184" spans="1:9" x14ac:dyDescent="0.3">
      <c r="A184" s="14">
        <v>1</v>
      </c>
      <c r="B184" s="14">
        <v>117</v>
      </c>
      <c r="C184" s="14">
        <v>74</v>
      </c>
      <c r="D184" s="14">
        <v>27.7</v>
      </c>
      <c r="E184" s="14">
        <v>0.29899999999999999</v>
      </c>
      <c r="F184" s="14">
        <v>21</v>
      </c>
      <c r="G184" s="14">
        <v>0</v>
      </c>
      <c r="H184" s="14">
        <v>117</v>
      </c>
      <c r="I184" s="14"/>
    </row>
    <row r="185" spans="1:9" x14ac:dyDescent="0.3">
      <c r="A185" s="14">
        <v>5</v>
      </c>
      <c r="B185" s="14">
        <v>73</v>
      </c>
      <c r="C185" s="14">
        <v>60</v>
      </c>
      <c r="D185" s="14">
        <v>26.8</v>
      </c>
      <c r="E185" s="14">
        <v>0.26800000000000002</v>
      </c>
      <c r="F185" s="14">
        <v>27</v>
      </c>
      <c r="G185" s="14">
        <v>0</v>
      </c>
      <c r="H185" s="14">
        <v>73</v>
      </c>
      <c r="I185" s="14"/>
    </row>
    <row r="186" spans="1:9" x14ac:dyDescent="0.3">
      <c r="A186" s="14">
        <v>4</v>
      </c>
      <c r="B186" s="14">
        <v>141</v>
      </c>
      <c r="C186" s="14">
        <v>74</v>
      </c>
      <c r="D186" s="14">
        <v>27.6</v>
      </c>
      <c r="E186" s="14">
        <v>0.24399999999999999</v>
      </c>
      <c r="F186" s="14">
        <v>40</v>
      </c>
      <c r="G186" s="14">
        <v>0</v>
      </c>
      <c r="H186" s="14">
        <v>141</v>
      </c>
      <c r="I186" s="14"/>
    </row>
    <row r="187" spans="1:9" x14ac:dyDescent="0.3">
      <c r="A187" s="14">
        <v>7</v>
      </c>
      <c r="B187" s="14">
        <v>194</v>
      </c>
      <c r="C187" s="14">
        <v>68</v>
      </c>
      <c r="D187" s="14">
        <v>35.9</v>
      </c>
      <c r="E187" s="14">
        <v>0.745</v>
      </c>
      <c r="F187" s="14">
        <v>41</v>
      </c>
      <c r="G187" s="14">
        <v>1</v>
      </c>
      <c r="H187" s="14" t="s">
        <v>36</v>
      </c>
      <c r="I187" s="14">
        <v>194</v>
      </c>
    </row>
    <row r="188" spans="1:9" x14ac:dyDescent="0.3">
      <c r="A188" s="14">
        <v>8</v>
      </c>
      <c r="B188" s="14">
        <v>181</v>
      </c>
      <c r="C188" s="14">
        <v>68</v>
      </c>
      <c r="D188" s="14">
        <v>30.1</v>
      </c>
      <c r="E188" s="14">
        <v>0.61499999999999999</v>
      </c>
      <c r="F188" s="14">
        <v>60</v>
      </c>
      <c r="G188" s="14">
        <v>1</v>
      </c>
      <c r="H188" s="14" t="s">
        <v>36</v>
      </c>
      <c r="I188" s="14">
        <v>181</v>
      </c>
    </row>
    <row r="189" spans="1:9" x14ac:dyDescent="0.3">
      <c r="A189" s="14">
        <v>1</v>
      </c>
      <c r="B189" s="14">
        <v>128</v>
      </c>
      <c r="C189" s="14">
        <v>98</v>
      </c>
      <c r="D189" s="14">
        <v>32</v>
      </c>
      <c r="E189" s="14">
        <v>1.321</v>
      </c>
      <c r="F189" s="14">
        <v>33</v>
      </c>
      <c r="G189" s="14">
        <v>1</v>
      </c>
      <c r="H189" s="14" t="s">
        <v>36</v>
      </c>
      <c r="I189" s="14">
        <v>128</v>
      </c>
    </row>
    <row r="190" spans="1:9" x14ac:dyDescent="0.3">
      <c r="A190" s="14">
        <v>8</v>
      </c>
      <c r="B190" s="14">
        <v>109</v>
      </c>
      <c r="C190" s="14">
        <v>76</v>
      </c>
      <c r="D190" s="14">
        <v>27.9</v>
      </c>
      <c r="E190" s="14">
        <v>0.64</v>
      </c>
      <c r="F190" s="14">
        <v>31</v>
      </c>
      <c r="G190" s="14">
        <v>1</v>
      </c>
      <c r="H190" s="14" t="s">
        <v>36</v>
      </c>
      <c r="I190" s="14">
        <v>109</v>
      </c>
    </row>
    <row r="191" spans="1:9" x14ac:dyDescent="0.3">
      <c r="A191" s="14">
        <v>5</v>
      </c>
      <c r="B191" s="14">
        <v>139</v>
      </c>
      <c r="C191" s="14">
        <v>80</v>
      </c>
      <c r="D191" s="14">
        <v>31.6</v>
      </c>
      <c r="E191" s="14">
        <v>0.36099999999999999</v>
      </c>
      <c r="F191" s="14">
        <v>25</v>
      </c>
      <c r="G191" s="14">
        <v>1</v>
      </c>
      <c r="H191" s="14" t="s">
        <v>36</v>
      </c>
      <c r="I191" s="14">
        <v>139</v>
      </c>
    </row>
    <row r="192" spans="1:9" x14ac:dyDescent="0.3">
      <c r="A192" s="14">
        <v>3</v>
      </c>
      <c r="B192" s="14">
        <v>111</v>
      </c>
      <c r="C192" s="14">
        <v>62</v>
      </c>
      <c r="D192" s="14">
        <v>22.6</v>
      </c>
      <c r="E192" s="14">
        <v>0.14199999999999999</v>
      </c>
      <c r="F192" s="14">
        <v>21</v>
      </c>
      <c r="G192" s="14">
        <v>0</v>
      </c>
      <c r="H192" s="14">
        <v>111</v>
      </c>
      <c r="I192" s="14"/>
    </row>
    <row r="193" spans="1:9" x14ac:dyDescent="0.3">
      <c r="A193" s="14">
        <v>9</v>
      </c>
      <c r="B193" s="14">
        <v>123</v>
      </c>
      <c r="C193" s="14">
        <v>70</v>
      </c>
      <c r="D193" s="14">
        <v>33.1</v>
      </c>
      <c r="E193" s="14">
        <v>0.374</v>
      </c>
      <c r="F193" s="14">
        <v>40</v>
      </c>
      <c r="G193" s="14">
        <v>0</v>
      </c>
      <c r="H193" s="14">
        <v>123</v>
      </c>
      <c r="I193" s="14"/>
    </row>
    <row r="194" spans="1:9" x14ac:dyDescent="0.3">
      <c r="A194" s="14">
        <v>7</v>
      </c>
      <c r="B194" s="14">
        <v>159</v>
      </c>
      <c r="C194" s="14">
        <v>66</v>
      </c>
      <c r="D194" s="14">
        <v>30.4</v>
      </c>
      <c r="E194" s="14">
        <v>0.38300000000000001</v>
      </c>
      <c r="F194" s="14">
        <v>36</v>
      </c>
      <c r="G194" s="14">
        <v>1</v>
      </c>
      <c r="H194" s="14" t="s">
        <v>36</v>
      </c>
      <c r="I194" s="14">
        <v>159</v>
      </c>
    </row>
    <row r="195" spans="1:9" x14ac:dyDescent="0.3">
      <c r="A195" s="14">
        <v>11</v>
      </c>
      <c r="B195" s="14">
        <v>135</v>
      </c>
      <c r="C195" s="14">
        <v>72</v>
      </c>
      <c r="D195" s="14">
        <v>52.3</v>
      </c>
      <c r="E195" s="14">
        <v>0.57799999999999996</v>
      </c>
      <c r="F195" s="14">
        <v>40</v>
      </c>
      <c r="G195" s="14">
        <v>1</v>
      </c>
      <c r="H195" s="14" t="s">
        <v>36</v>
      </c>
      <c r="I195" s="14">
        <v>135</v>
      </c>
    </row>
    <row r="196" spans="1:9" x14ac:dyDescent="0.3">
      <c r="A196" s="14">
        <v>8</v>
      </c>
      <c r="B196" s="14">
        <v>85</v>
      </c>
      <c r="C196" s="14">
        <v>55</v>
      </c>
      <c r="D196" s="14">
        <v>24.4</v>
      </c>
      <c r="E196" s="14">
        <v>0.13600000000000001</v>
      </c>
      <c r="F196" s="14">
        <v>42</v>
      </c>
      <c r="G196" s="14">
        <v>0</v>
      </c>
      <c r="H196" s="14">
        <v>85</v>
      </c>
      <c r="I196" s="14"/>
    </row>
    <row r="197" spans="1:9" x14ac:dyDescent="0.3">
      <c r="A197" s="14">
        <v>5</v>
      </c>
      <c r="B197" s="14">
        <v>158</v>
      </c>
      <c r="C197" s="14">
        <v>84</v>
      </c>
      <c r="D197" s="14">
        <v>39.4</v>
      </c>
      <c r="E197" s="14">
        <v>0.39500000000000002</v>
      </c>
      <c r="F197" s="14">
        <v>29</v>
      </c>
      <c r="G197" s="14">
        <v>1</v>
      </c>
      <c r="H197" s="14" t="s">
        <v>36</v>
      </c>
      <c r="I197" s="14">
        <v>158</v>
      </c>
    </row>
    <row r="198" spans="1:9" x14ac:dyDescent="0.3">
      <c r="A198" s="14">
        <v>1</v>
      </c>
      <c r="B198" s="14">
        <v>105</v>
      </c>
      <c r="C198" s="14">
        <v>58</v>
      </c>
      <c r="D198" s="14">
        <v>24.3</v>
      </c>
      <c r="E198" s="14">
        <v>0.187</v>
      </c>
      <c r="F198" s="14">
        <v>21</v>
      </c>
      <c r="G198" s="14">
        <v>0</v>
      </c>
      <c r="H198" s="14">
        <v>105</v>
      </c>
      <c r="I198" s="14"/>
    </row>
    <row r="199" spans="1:9" x14ac:dyDescent="0.3">
      <c r="A199" s="14">
        <v>3</v>
      </c>
      <c r="B199" s="14">
        <v>107</v>
      </c>
      <c r="C199" s="14">
        <v>62</v>
      </c>
      <c r="D199" s="14">
        <v>22.9</v>
      </c>
      <c r="E199" s="14">
        <v>0.67800000000000005</v>
      </c>
      <c r="F199" s="14">
        <v>23</v>
      </c>
      <c r="G199" s="14">
        <v>1</v>
      </c>
      <c r="H199" s="14" t="s">
        <v>36</v>
      </c>
      <c r="I199" s="14">
        <v>107</v>
      </c>
    </row>
    <row r="200" spans="1:9" x14ac:dyDescent="0.3">
      <c r="A200" s="14">
        <v>4</v>
      </c>
      <c r="B200" s="14">
        <v>109</v>
      </c>
      <c r="C200" s="14">
        <v>64</v>
      </c>
      <c r="D200" s="14">
        <v>34.799999999999997</v>
      </c>
      <c r="E200" s="14">
        <v>0.90500000000000003</v>
      </c>
      <c r="F200" s="14">
        <v>26</v>
      </c>
      <c r="G200" s="14">
        <v>1</v>
      </c>
      <c r="H200" s="14" t="s">
        <v>36</v>
      </c>
      <c r="I200" s="14">
        <v>109</v>
      </c>
    </row>
    <row r="201" spans="1:9" x14ac:dyDescent="0.3">
      <c r="A201" s="14">
        <v>4</v>
      </c>
      <c r="B201" s="14">
        <v>148</v>
      </c>
      <c r="C201" s="14">
        <v>60</v>
      </c>
      <c r="D201" s="14">
        <v>30.9</v>
      </c>
      <c r="E201" s="14">
        <v>0.15</v>
      </c>
      <c r="F201" s="14">
        <v>29</v>
      </c>
      <c r="G201" s="14">
        <v>1</v>
      </c>
      <c r="H201" s="14" t="s">
        <v>36</v>
      </c>
      <c r="I201" s="14">
        <v>148</v>
      </c>
    </row>
    <row r="202" spans="1:9" x14ac:dyDescent="0.3">
      <c r="A202" s="14">
        <v>0</v>
      </c>
      <c r="B202" s="14">
        <v>113</v>
      </c>
      <c r="C202" s="14">
        <v>80</v>
      </c>
      <c r="D202" s="14">
        <v>31</v>
      </c>
      <c r="E202" s="14">
        <v>0.874</v>
      </c>
      <c r="F202" s="14">
        <v>21</v>
      </c>
      <c r="G202" s="14">
        <v>0</v>
      </c>
      <c r="H202" s="14">
        <v>113</v>
      </c>
      <c r="I202" s="14"/>
    </row>
    <row r="203" spans="1:9" x14ac:dyDescent="0.3">
      <c r="A203" s="14">
        <v>1</v>
      </c>
      <c r="B203" s="14">
        <v>138</v>
      </c>
      <c r="C203" s="14">
        <v>82</v>
      </c>
      <c r="D203" s="14">
        <v>40.1</v>
      </c>
      <c r="E203" s="14">
        <v>0.23599999999999999</v>
      </c>
      <c r="F203" s="14">
        <v>28</v>
      </c>
      <c r="G203" s="14">
        <v>0</v>
      </c>
      <c r="H203" s="14">
        <v>138</v>
      </c>
      <c r="I203" s="14"/>
    </row>
    <row r="204" spans="1:9" x14ac:dyDescent="0.3">
      <c r="A204" s="14">
        <v>0</v>
      </c>
      <c r="B204" s="14">
        <v>108</v>
      </c>
      <c r="C204" s="14">
        <v>68</v>
      </c>
      <c r="D204" s="14">
        <v>27.3</v>
      </c>
      <c r="E204" s="14">
        <v>0.78700000000000003</v>
      </c>
      <c r="F204" s="14">
        <v>32</v>
      </c>
      <c r="G204" s="14">
        <v>0</v>
      </c>
      <c r="H204" s="14">
        <v>108</v>
      </c>
      <c r="I204" s="14"/>
    </row>
    <row r="205" spans="1:9" x14ac:dyDescent="0.3">
      <c r="A205" s="14">
        <v>2</v>
      </c>
      <c r="B205" s="14">
        <v>99</v>
      </c>
      <c r="C205" s="14">
        <v>70</v>
      </c>
      <c r="D205" s="14">
        <v>20.399999999999999</v>
      </c>
      <c r="E205" s="14">
        <v>0.23499999999999999</v>
      </c>
      <c r="F205" s="14">
        <v>27</v>
      </c>
      <c r="G205" s="14">
        <v>0</v>
      </c>
      <c r="H205" s="14">
        <v>99</v>
      </c>
      <c r="I205" s="14"/>
    </row>
    <row r="206" spans="1:9" x14ac:dyDescent="0.3">
      <c r="A206" s="14">
        <v>6</v>
      </c>
      <c r="B206" s="14">
        <v>103</v>
      </c>
      <c r="C206" s="14">
        <v>72</v>
      </c>
      <c r="D206" s="14">
        <v>37.700000000000003</v>
      </c>
      <c r="E206" s="14">
        <v>0.32400000000000001</v>
      </c>
      <c r="F206" s="14">
        <v>55</v>
      </c>
      <c r="G206" s="14">
        <v>0</v>
      </c>
      <c r="H206" s="14">
        <v>103</v>
      </c>
      <c r="I206" s="14"/>
    </row>
    <row r="207" spans="1:9" x14ac:dyDescent="0.3">
      <c r="A207" s="14">
        <v>5</v>
      </c>
      <c r="B207" s="14">
        <v>111</v>
      </c>
      <c r="C207" s="14">
        <v>72</v>
      </c>
      <c r="D207" s="14">
        <v>23.9</v>
      </c>
      <c r="E207" s="14">
        <v>0.40699999999999997</v>
      </c>
      <c r="F207" s="14">
        <v>27</v>
      </c>
      <c r="G207" s="14">
        <v>0</v>
      </c>
      <c r="H207" s="14">
        <v>111</v>
      </c>
      <c r="I207" s="14"/>
    </row>
    <row r="208" spans="1:9" x14ac:dyDescent="0.3">
      <c r="A208" s="14">
        <v>8</v>
      </c>
      <c r="B208" s="14">
        <v>196</v>
      </c>
      <c r="C208" s="14">
        <v>76</v>
      </c>
      <c r="D208" s="14">
        <v>37.5</v>
      </c>
      <c r="E208" s="14">
        <v>0.60499999999999998</v>
      </c>
      <c r="F208" s="14">
        <v>57</v>
      </c>
      <c r="G208" s="14">
        <v>1</v>
      </c>
      <c r="H208" s="14" t="s">
        <v>36</v>
      </c>
      <c r="I208" s="14">
        <v>196</v>
      </c>
    </row>
    <row r="209" spans="1:9" x14ac:dyDescent="0.3">
      <c r="A209" s="14">
        <v>5</v>
      </c>
      <c r="B209" s="14">
        <v>162</v>
      </c>
      <c r="C209" s="14">
        <v>104</v>
      </c>
      <c r="D209" s="14">
        <v>37.700000000000003</v>
      </c>
      <c r="E209" s="14">
        <v>0.151</v>
      </c>
      <c r="F209" s="14">
        <v>52</v>
      </c>
      <c r="G209" s="14">
        <v>1</v>
      </c>
      <c r="H209" s="14" t="s">
        <v>36</v>
      </c>
      <c r="I209" s="14">
        <v>162</v>
      </c>
    </row>
    <row r="210" spans="1:9" x14ac:dyDescent="0.3">
      <c r="A210" s="14">
        <v>1</v>
      </c>
      <c r="B210" s="14">
        <v>96</v>
      </c>
      <c r="C210" s="14">
        <v>64</v>
      </c>
      <c r="D210" s="14">
        <v>33.200000000000003</v>
      </c>
      <c r="E210" s="14">
        <v>0.28899999999999998</v>
      </c>
      <c r="F210" s="14">
        <v>21</v>
      </c>
      <c r="G210" s="14">
        <v>0</v>
      </c>
      <c r="H210" s="14">
        <v>96</v>
      </c>
      <c r="I210" s="14"/>
    </row>
    <row r="211" spans="1:9" x14ac:dyDescent="0.3">
      <c r="A211" s="14">
        <v>7</v>
      </c>
      <c r="B211" s="14">
        <v>184</v>
      </c>
      <c r="C211" s="14">
        <v>84</v>
      </c>
      <c r="D211" s="14">
        <v>35.5</v>
      </c>
      <c r="E211" s="14">
        <v>0.35499999999999998</v>
      </c>
      <c r="F211" s="14">
        <v>41</v>
      </c>
      <c r="G211" s="14">
        <v>1</v>
      </c>
      <c r="H211" s="14" t="s">
        <v>36</v>
      </c>
      <c r="I211" s="14">
        <v>184</v>
      </c>
    </row>
    <row r="212" spans="1:9" x14ac:dyDescent="0.3">
      <c r="A212" s="14">
        <v>2</v>
      </c>
      <c r="B212" s="14">
        <v>81</v>
      </c>
      <c r="C212" s="14">
        <v>60</v>
      </c>
      <c r="D212" s="14">
        <v>27.7</v>
      </c>
      <c r="E212" s="14">
        <v>0.28999999999999998</v>
      </c>
      <c r="F212" s="14">
        <v>25</v>
      </c>
      <c r="G212" s="14">
        <v>0</v>
      </c>
      <c r="H212" s="14">
        <v>81</v>
      </c>
      <c r="I212" s="14"/>
    </row>
    <row r="213" spans="1:9" x14ac:dyDescent="0.3">
      <c r="A213" s="14">
        <v>0</v>
      </c>
      <c r="B213" s="14">
        <v>147</v>
      </c>
      <c r="C213" s="14">
        <v>85</v>
      </c>
      <c r="D213" s="14">
        <v>42.8</v>
      </c>
      <c r="E213" s="14">
        <v>0.375</v>
      </c>
      <c r="F213" s="14">
        <v>24</v>
      </c>
      <c r="G213" s="14">
        <v>0</v>
      </c>
      <c r="H213" s="14">
        <v>147</v>
      </c>
      <c r="I213" s="14"/>
    </row>
    <row r="214" spans="1:9" x14ac:dyDescent="0.3">
      <c r="A214" s="14">
        <v>7</v>
      </c>
      <c r="B214" s="14">
        <v>179</v>
      </c>
      <c r="C214" s="14">
        <v>95</v>
      </c>
      <c r="D214" s="14">
        <v>34.200000000000003</v>
      </c>
      <c r="E214" s="14">
        <v>0.16400000000000001</v>
      </c>
      <c r="F214" s="14">
        <v>60</v>
      </c>
      <c r="G214" s="14">
        <v>0</v>
      </c>
      <c r="H214" s="14">
        <v>179</v>
      </c>
      <c r="I214" s="14"/>
    </row>
    <row r="215" spans="1:9" x14ac:dyDescent="0.3">
      <c r="A215" s="14">
        <v>0</v>
      </c>
      <c r="B215" s="14">
        <v>140</v>
      </c>
      <c r="C215" s="14">
        <v>65</v>
      </c>
      <c r="D215" s="14">
        <v>42.6</v>
      </c>
      <c r="E215" s="14">
        <v>0.43099999999999999</v>
      </c>
      <c r="F215" s="14">
        <v>24</v>
      </c>
      <c r="G215" s="14">
        <v>1</v>
      </c>
      <c r="H215" s="14" t="s">
        <v>36</v>
      </c>
      <c r="I215" s="14">
        <v>140</v>
      </c>
    </row>
    <row r="216" spans="1:9" x14ac:dyDescent="0.3">
      <c r="A216" s="14">
        <v>9</v>
      </c>
      <c r="B216" s="14">
        <v>112</v>
      </c>
      <c r="C216" s="14">
        <v>82</v>
      </c>
      <c r="D216" s="14">
        <v>34.200000000000003</v>
      </c>
      <c r="E216" s="14">
        <v>0.26</v>
      </c>
      <c r="F216" s="14">
        <v>36</v>
      </c>
      <c r="G216" s="14">
        <v>1</v>
      </c>
      <c r="H216" s="14" t="s">
        <v>36</v>
      </c>
      <c r="I216" s="14">
        <v>112</v>
      </c>
    </row>
    <row r="217" spans="1:9" x14ac:dyDescent="0.3">
      <c r="A217" s="14">
        <v>12</v>
      </c>
      <c r="B217" s="14">
        <v>151</v>
      </c>
      <c r="C217" s="14">
        <v>70</v>
      </c>
      <c r="D217" s="14">
        <v>41.8</v>
      </c>
      <c r="E217" s="14">
        <v>0.74199999999999999</v>
      </c>
      <c r="F217" s="14">
        <v>38</v>
      </c>
      <c r="G217" s="14">
        <v>1</v>
      </c>
      <c r="H217" s="14" t="s">
        <v>36</v>
      </c>
      <c r="I217" s="14">
        <v>151</v>
      </c>
    </row>
    <row r="218" spans="1:9" x14ac:dyDescent="0.3">
      <c r="A218" s="14">
        <v>5</v>
      </c>
      <c r="B218" s="14">
        <v>109</v>
      </c>
      <c r="C218" s="14">
        <v>62</v>
      </c>
      <c r="D218" s="14">
        <v>35.799999999999997</v>
      </c>
      <c r="E218" s="14">
        <v>0.51400000000000001</v>
      </c>
      <c r="F218" s="14">
        <v>25</v>
      </c>
      <c r="G218" s="14">
        <v>1</v>
      </c>
      <c r="H218" s="14" t="s">
        <v>36</v>
      </c>
      <c r="I218" s="14">
        <v>109</v>
      </c>
    </row>
    <row r="219" spans="1:9" x14ac:dyDescent="0.3">
      <c r="A219" s="14">
        <v>6</v>
      </c>
      <c r="B219" s="14">
        <v>125</v>
      </c>
      <c r="C219" s="14">
        <v>68</v>
      </c>
      <c r="D219" s="14">
        <v>30</v>
      </c>
      <c r="E219" s="14">
        <v>0.46400000000000002</v>
      </c>
      <c r="F219" s="14">
        <v>32</v>
      </c>
      <c r="G219" s="14">
        <v>0</v>
      </c>
      <c r="H219" s="14">
        <v>125</v>
      </c>
      <c r="I219" s="14"/>
    </row>
    <row r="220" spans="1:9" x14ac:dyDescent="0.3">
      <c r="A220" s="14">
        <v>5</v>
      </c>
      <c r="B220" s="14">
        <v>85</v>
      </c>
      <c r="C220" s="14">
        <v>74</v>
      </c>
      <c r="D220" s="14">
        <v>29</v>
      </c>
      <c r="E220" s="14">
        <v>1.224</v>
      </c>
      <c r="F220" s="14">
        <v>32</v>
      </c>
      <c r="G220" s="14">
        <v>1</v>
      </c>
      <c r="H220" s="14" t="s">
        <v>36</v>
      </c>
      <c r="I220" s="14">
        <v>85</v>
      </c>
    </row>
    <row r="221" spans="1:9" x14ac:dyDescent="0.3">
      <c r="A221" s="14">
        <v>5</v>
      </c>
      <c r="B221" s="14">
        <v>112</v>
      </c>
      <c r="C221" s="14">
        <v>66</v>
      </c>
      <c r="D221" s="14">
        <v>37.799999999999997</v>
      </c>
      <c r="E221" s="14">
        <v>0.26100000000000001</v>
      </c>
      <c r="F221" s="14">
        <v>41</v>
      </c>
      <c r="G221" s="14">
        <v>1</v>
      </c>
      <c r="H221" s="14" t="s">
        <v>36</v>
      </c>
      <c r="I221" s="14">
        <v>112</v>
      </c>
    </row>
    <row r="222" spans="1:9" x14ac:dyDescent="0.3">
      <c r="A222" s="14">
        <v>0</v>
      </c>
      <c r="B222" s="14">
        <v>177</v>
      </c>
      <c r="C222" s="14">
        <v>60</v>
      </c>
      <c r="D222" s="14">
        <v>34.6</v>
      </c>
      <c r="E222" s="14">
        <v>1.0720000000000001</v>
      </c>
      <c r="F222" s="14">
        <v>21</v>
      </c>
      <c r="G222" s="14">
        <v>1</v>
      </c>
      <c r="H222" s="14" t="s">
        <v>36</v>
      </c>
      <c r="I222" s="14">
        <v>177</v>
      </c>
    </row>
    <row r="223" spans="1:9" x14ac:dyDescent="0.3">
      <c r="A223" s="14">
        <v>2</v>
      </c>
      <c r="B223" s="14">
        <v>158</v>
      </c>
      <c r="C223" s="14">
        <v>90</v>
      </c>
      <c r="D223" s="14">
        <v>31.6</v>
      </c>
      <c r="E223" s="14">
        <v>0.80500000000000005</v>
      </c>
      <c r="F223" s="14">
        <v>66</v>
      </c>
      <c r="G223" s="14">
        <v>1</v>
      </c>
      <c r="H223" s="14" t="s">
        <v>36</v>
      </c>
      <c r="I223" s="14">
        <v>158</v>
      </c>
    </row>
    <row r="224" spans="1:9" x14ac:dyDescent="0.3">
      <c r="A224" s="14">
        <v>7</v>
      </c>
      <c r="B224" s="14">
        <v>119</v>
      </c>
      <c r="C224" s="14">
        <v>72</v>
      </c>
      <c r="D224" s="14">
        <v>25.2</v>
      </c>
      <c r="E224" s="14">
        <v>0.20899999999999999</v>
      </c>
      <c r="F224" s="14">
        <v>37</v>
      </c>
      <c r="G224" s="14">
        <v>0</v>
      </c>
      <c r="H224" s="14">
        <v>119</v>
      </c>
      <c r="I224" s="14"/>
    </row>
    <row r="225" spans="1:9" x14ac:dyDescent="0.3">
      <c r="A225" s="14">
        <v>7</v>
      </c>
      <c r="B225" s="14">
        <v>142</v>
      </c>
      <c r="C225" s="14">
        <v>60</v>
      </c>
      <c r="D225" s="14">
        <v>28.8</v>
      </c>
      <c r="E225" s="14">
        <v>0.68700000000000006</v>
      </c>
      <c r="F225" s="14">
        <v>61</v>
      </c>
      <c r="G225" s="14">
        <v>0</v>
      </c>
      <c r="H225" s="14">
        <v>142</v>
      </c>
      <c r="I225" s="14"/>
    </row>
    <row r="226" spans="1:9" x14ac:dyDescent="0.3">
      <c r="A226" s="14">
        <v>1</v>
      </c>
      <c r="B226" s="14">
        <v>100</v>
      </c>
      <c r="C226" s="14">
        <v>66</v>
      </c>
      <c r="D226" s="14">
        <v>23.6</v>
      </c>
      <c r="E226" s="14">
        <v>0.66600000000000004</v>
      </c>
      <c r="F226" s="14">
        <v>26</v>
      </c>
      <c r="G226" s="14">
        <v>0</v>
      </c>
      <c r="H226" s="14">
        <v>100</v>
      </c>
      <c r="I226" s="14"/>
    </row>
    <row r="227" spans="1:9" x14ac:dyDescent="0.3">
      <c r="A227" s="14">
        <v>1</v>
      </c>
      <c r="B227" s="14">
        <v>87</v>
      </c>
      <c r="C227" s="14">
        <v>78</v>
      </c>
      <c r="D227" s="14">
        <v>34.6</v>
      </c>
      <c r="E227" s="14">
        <v>0.10100000000000001</v>
      </c>
      <c r="F227" s="14">
        <v>22</v>
      </c>
      <c r="G227" s="14">
        <v>0</v>
      </c>
      <c r="H227" s="14">
        <v>87</v>
      </c>
      <c r="I227" s="14"/>
    </row>
    <row r="228" spans="1:9" x14ac:dyDescent="0.3">
      <c r="A228" s="14">
        <v>0</v>
      </c>
      <c r="B228" s="14">
        <v>101</v>
      </c>
      <c r="C228" s="14">
        <v>76</v>
      </c>
      <c r="D228" s="14">
        <v>35.700000000000003</v>
      </c>
      <c r="E228" s="14">
        <v>0.19800000000000001</v>
      </c>
      <c r="F228" s="14">
        <v>26</v>
      </c>
      <c r="G228" s="14">
        <v>0</v>
      </c>
      <c r="H228" s="14">
        <v>101</v>
      </c>
      <c r="I228" s="14"/>
    </row>
    <row r="229" spans="1:9" x14ac:dyDescent="0.3">
      <c r="A229" s="14">
        <v>3</v>
      </c>
      <c r="B229" s="14">
        <v>162</v>
      </c>
      <c r="C229" s="14">
        <v>52</v>
      </c>
      <c r="D229" s="14">
        <v>37.200000000000003</v>
      </c>
      <c r="E229" s="14">
        <v>0.65200000000000002</v>
      </c>
      <c r="F229" s="14">
        <v>24</v>
      </c>
      <c r="G229" s="14">
        <v>1</v>
      </c>
      <c r="H229" s="14" t="s">
        <v>36</v>
      </c>
      <c r="I229" s="14">
        <v>162</v>
      </c>
    </row>
    <row r="230" spans="1:9" x14ac:dyDescent="0.3">
      <c r="A230" s="14">
        <v>4</v>
      </c>
      <c r="B230" s="14">
        <v>197</v>
      </c>
      <c r="C230" s="14">
        <v>70</v>
      </c>
      <c r="D230" s="14">
        <v>36.700000000000003</v>
      </c>
      <c r="E230" s="14">
        <v>2.3290000000000002</v>
      </c>
      <c r="F230" s="14">
        <v>31</v>
      </c>
      <c r="G230" s="14">
        <v>0</v>
      </c>
      <c r="H230" s="14">
        <v>197</v>
      </c>
      <c r="I230" s="14"/>
    </row>
    <row r="231" spans="1:9" x14ac:dyDescent="0.3">
      <c r="A231" s="14">
        <v>0</v>
      </c>
      <c r="B231" s="14">
        <v>117</v>
      </c>
      <c r="C231" s="14">
        <v>80</v>
      </c>
      <c r="D231" s="14">
        <v>45.2</v>
      </c>
      <c r="E231" s="14">
        <v>8.8999999999999996E-2</v>
      </c>
      <c r="F231" s="14">
        <v>24</v>
      </c>
      <c r="G231" s="14">
        <v>0</v>
      </c>
      <c r="H231" s="14">
        <v>117</v>
      </c>
      <c r="I231" s="14"/>
    </row>
    <row r="232" spans="1:9" x14ac:dyDescent="0.3">
      <c r="A232" s="14">
        <v>4</v>
      </c>
      <c r="B232" s="14">
        <v>142</v>
      </c>
      <c r="C232" s="14">
        <v>86</v>
      </c>
      <c r="D232" s="14">
        <v>44</v>
      </c>
      <c r="E232" s="14">
        <v>0.64500000000000002</v>
      </c>
      <c r="F232" s="14">
        <v>22</v>
      </c>
      <c r="G232" s="14">
        <v>1</v>
      </c>
      <c r="H232" s="14" t="s">
        <v>36</v>
      </c>
      <c r="I232" s="14">
        <v>142</v>
      </c>
    </row>
    <row r="233" spans="1:9" x14ac:dyDescent="0.3">
      <c r="A233" s="14">
        <v>6</v>
      </c>
      <c r="B233" s="14">
        <v>134</v>
      </c>
      <c r="C233" s="14">
        <v>80</v>
      </c>
      <c r="D233" s="14">
        <v>46.2</v>
      </c>
      <c r="E233" s="14">
        <v>0.23799999999999999</v>
      </c>
      <c r="F233" s="14">
        <v>46</v>
      </c>
      <c r="G233" s="14">
        <v>1</v>
      </c>
      <c r="H233" s="14" t="s">
        <v>36</v>
      </c>
      <c r="I233" s="14">
        <v>134</v>
      </c>
    </row>
    <row r="234" spans="1:9" x14ac:dyDescent="0.3">
      <c r="A234" s="14">
        <v>1</v>
      </c>
      <c r="B234" s="14">
        <v>79</v>
      </c>
      <c r="C234" s="14">
        <v>80</v>
      </c>
      <c r="D234" s="14">
        <v>25.4</v>
      </c>
      <c r="E234" s="14">
        <v>0.58299999999999996</v>
      </c>
      <c r="F234" s="14">
        <v>22</v>
      </c>
      <c r="G234" s="14">
        <v>0</v>
      </c>
      <c r="H234" s="14">
        <v>79</v>
      </c>
      <c r="I234" s="14"/>
    </row>
    <row r="235" spans="1:9" x14ac:dyDescent="0.3">
      <c r="A235" s="14">
        <v>4</v>
      </c>
      <c r="B235" s="14">
        <v>122</v>
      </c>
      <c r="C235" s="14">
        <v>68</v>
      </c>
      <c r="D235" s="14">
        <v>35</v>
      </c>
      <c r="E235" s="14">
        <v>0.39400000000000002</v>
      </c>
      <c r="F235" s="14">
        <v>29</v>
      </c>
      <c r="G235" s="14">
        <v>0</v>
      </c>
      <c r="H235" s="14">
        <v>122</v>
      </c>
      <c r="I235" s="14"/>
    </row>
    <row r="236" spans="1:9" x14ac:dyDescent="0.3">
      <c r="A236" s="14">
        <v>3</v>
      </c>
      <c r="B236" s="14">
        <v>74</v>
      </c>
      <c r="C236" s="14">
        <v>68</v>
      </c>
      <c r="D236" s="14">
        <v>29.7</v>
      </c>
      <c r="E236" s="14">
        <v>0.29299999999999998</v>
      </c>
      <c r="F236" s="14">
        <v>23</v>
      </c>
      <c r="G236" s="14">
        <v>0</v>
      </c>
      <c r="H236" s="14">
        <v>74</v>
      </c>
      <c r="I236" s="14"/>
    </row>
    <row r="237" spans="1:9" x14ac:dyDescent="0.3">
      <c r="A237" s="14">
        <v>4</v>
      </c>
      <c r="B237" s="14">
        <v>171</v>
      </c>
      <c r="C237" s="14">
        <v>72</v>
      </c>
      <c r="D237" s="14">
        <v>43.6</v>
      </c>
      <c r="E237" s="14">
        <v>0.47899999999999998</v>
      </c>
      <c r="F237" s="14">
        <v>26</v>
      </c>
      <c r="G237" s="14">
        <v>1</v>
      </c>
      <c r="H237" s="14" t="s">
        <v>36</v>
      </c>
      <c r="I237" s="14">
        <v>171</v>
      </c>
    </row>
    <row r="238" spans="1:9" x14ac:dyDescent="0.3">
      <c r="A238" s="14">
        <v>7</v>
      </c>
      <c r="B238" s="14">
        <v>181</v>
      </c>
      <c r="C238" s="14">
        <v>84</v>
      </c>
      <c r="D238" s="14">
        <v>35.9</v>
      </c>
      <c r="E238" s="14">
        <v>0.58599999999999997</v>
      </c>
      <c r="F238" s="14">
        <v>51</v>
      </c>
      <c r="G238" s="14">
        <v>1</v>
      </c>
      <c r="H238" s="14" t="s">
        <v>36</v>
      </c>
      <c r="I238" s="14">
        <v>181</v>
      </c>
    </row>
    <row r="239" spans="1:9" x14ac:dyDescent="0.3">
      <c r="A239" s="14">
        <v>0</v>
      </c>
      <c r="B239" s="14">
        <v>179</v>
      </c>
      <c r="C239" s="14">
        <v>90</v>
      </c>
      <c r="D239" s="14">
        <v>44.1</v>
      </c>
      <c r="E239" s="14">
        <v>0.68600000000000005</v>
      </c>
      <c r="F239" s="14">
        <v>23</v>
      </c>
      <c r="G239" s="14">
        <v>1</v>
      </c>
      <c r="H239" s="14" t="s">
        <v>36</v>
      </c>
      <c r="I239" s="14">
        <v>179</v>
      </c>
    </row>
    <row r="240" spans="1:9" x14ac:dyDescent="0.3">
      <c r="A240" s="14">
        <v>9</v>
      </c>
      <c r="B240" s="14">
        <v>164</v>
      </c>
      <c r="C240" s="14">
        <v>84</v>
      </c>
      <c r="D240" s="14">
        <v>30.8</v>
      </c>
      <c r="E240" s="14">
        <v>0.83099999999999996</v>
      </c>
      <c r="F240" s="14">
        <v>32</v>
      </c>
      <c r="G240" s="14">
        <v>1</v>
      </c>
      <c r="H240" s="14" t="s">
        <v>36</v>
      </c>
      <c r="I240" s="14">
        <v>164</v>
      </c>
    </row>
    <row r="241" spans="1:9" x14ac:dyDescent="0.3">
      <c r="A241" s="14">
        <v>0</v>
      </c>
      <c r="B241" s="14">
        <v>104</v>
      </c>
      <c r="C241" s="14">
        <v>76</v>
      </c>
      <c r="D241" s="14">
        <v>18.399999999999999</v>
      </c>
      <c r="E241" s="14">
        <v>0.58199999999999996</v>
      </c>
      <c r="F241" s="14">
        <v>27</v>
      </c>
      <c r="G241" s="14">
        <v>0</v>
      </c>
      <c r="H241" s="14">
        <v>104</v>
      </c>
      <c r="I241" s="14"/>
    </row>
    <row r="242" spans="1:9" x14ac:dyDescent="0.3">
      <c r="A242" s="14">
        <v>1</v>
      </c>
      <c r="B242" s="14">
        <v>91</v>
      </c>
      <c r="C242" s="14">
        <v>64</v>
      </c>
      <c r="D242" s="14">
        <v>29.2</v>
      </c>
      <c r="E242" s="14">
        <v>0.192</v>
      </c>
      <c r="F242" s="14">
        <v>21</v>
      </c>
      <c r="G242" s="14">
        <v>0</v>
      </c>
      <c r="H242" s="14">
        <v>91</v>
      </c>
      <c r="I242" s="14"/>
    </row>
    <row r="243" spans="1:9" x14ac:dyDescent="0.3">
      <c r="A243" s="14">
        <v>4</v>
      </c>
      <c r="B243" s="14">
        <v>91</v>
      </c>
      <c r="C243" s="14">
        <v>70</v>
      </c>
      <c r="D243" s="14">
        <v>33.1</v>
      </c>
      <c r="E243" s="14">
        <v>0.44600000000000001</v>
      </c>
      <c r="F243" s="14">
        <v>22</v>
      </c>
      <c r="G243" s="14">
        <v>0</v>
      </c>
      <c r="H243" s="14">
        <v>91</v>
      </c>
      <c r="I243" s="14"/>
    </row>
    <row r="244" spans="1:9" x14ac:dyDescent="0.3">
      <c r="A244" s="14">
        <v>3</v>
      </c>
      <c r="B244" s="14">
        <v>139</v>
      </c>
      <c r="C244" s="14">
        <v>54</v>
      </c>
      <c r="D244" s="14">
        <v>25.6</v>
      </c>
      <c r="E244" s="14">
        <v>0.40200000000000002</v>
      </c>
      <c r="F244" s="14">
        <v>22</v>
      </c>
      <c r="G244" s="14">
        <v>1</v>
      </c>
      <c r="H244" s="14" t="s">
        <v>36</v>
      </c>
      <c r="I244" s="14">
        <v>139</v>
      </c>
    </row>
    <row r="245" spans="1:9" x14ac:dyDescent="0.3">
      <c r="A245" s="14">
        <v>6</v>
      </c>
      <c r="B245" s="14">
        <v>119</v>
      </c>
      <c r="C245" s="14">
        <v>50</v>
      </c>
      <c r="D245" s="14">
        <v>27.1</v>
      </c>
      <c r="E245" s="14">
        <v>1.3180000000000001</v>
      </c>
      <c r="F245" s="14">
        <v>33</v>
      </c>
      <c r="G245" s="14">
        <v>1</v>
      </c>
      <c r="H245" s="14" t="s">
        <v>36</v>
      </c>
      <c r="I245" s="14">
        <v>119</v>
      </c>
    </row>
    <row r="246" spans="1:9" x14ac:dyDescent="0.3">
      <c r="A246" s="14">
        <v>2</v>
      </c>
      <c r="B246" s="14">
        <v>146</v>
      </c>
      <c r="C246" s="14">
        <v>76</v>
      </c>
      <c r="D246" s="14">
        <v>38.200000000000003</v>
      </c>
      <c r="E246" s="14">
        <v>0.32900000000000001</v>
      </c>
      <c r="F246" s="14">
        <v>29</v>
      </c>
      <c r="G246" s="14">
        <v>0</v>
      </c>
      <c r="H246" s="14">
        <v>146</v>
      </c>
      <c r="I246" s="14"/>
    </row>
    <row r="247" spans="1:9" x14ac:dyDescent="0.3">
      <c r="A247" s="14">
        <v>9</v>
      </c>
      <c r="B247" s="14">
        <v>184</v>
      </c>
      <c r="C247" s="14">
        <v>85</v>
      </c>
      <c r="D247" s="14">
        <v>30</v>
      </c>
      <c r="E247" s="14">
        <v>1.2130000000000001</v>
      </c>
      <c r="F247" s="14">
        <v>49</v>
      </c>
      <c r="G247" s="14">
        <v>1</v>
      </c>
      <c r="H247" s="14" t="s">
        <v>36</v>
      </c>
      <c r="I247" s="14">
        <v>184</v>
      </c>
    </row>
    <row r="248" spans="1:9" x14ac:dyDescent="0.3">
      <c r="A248" s="14">
        <v>10</v>
      </c>
      <c r="B248" s="14">
        <v>122</v>
      </c>
      <c r="C248" s="14">
        <v>68</v>
      </c>
      <c r="D248" s="14">
        <v>31.2</v>
      </c>
      <c r="E248" s="14">
        <v>0.25800000000000001</v>
      </c>
      <c r="F248" s="14">
        <v>41</v>
      </c>
      <c r="G248" s="14">
        <v>0</v>
      </c>
      <c r="H248" s="14">
        <v>122</v>
      </c>
      <c r="I248" s="14"/>
    </row>
    <row r="249" spans="1:9" x14ac:dyDescent="0.3">
      <c r="A249" s="14">
        <v>0</v>
      </c>
      <c r="B249" s="14">
        <v>165</v>
      </c>
      <c r="C249" s="14">
        <v>90</v>
      </c>
      <c r="D249" s="14">
        <v>52.3</v>
      </c>
      <c r="E249" s="14">
        <v>0.42699999999999999</v>
      </c>
      <c r="F249" s="14">
        <v>23</v>
      </c>
      <c r="G249" s="14">
        <v>0</v>
      </c>
      <c r="H249" s="14">
        <v>165</v>
      </c>
      <c r="I249" s="14"/>
    </row>
    <row r="250" spans="1:9" x14ac:dyDescent="0.3">
      <c r="A250" s="14">
        <v>9</v>
      </c>
      <c r="B250" s="14">
        <v>124</v>
      </c>
      <c r="C250" s="14">
        <v>70</v>
      </c>
      <c r="D250" s="14">
        <v>35.4</v>
      </c>
      <c r="E250" s="14">
        <v>0.28199999999999997</v>
      </c>
      <c r="F250" s="14">
        <v>34</v>
      </c>
      <c r="G250" s="14">
        <v>0</v>
      </c>
      <c r="H250" s="14">
        <v>124</v>
      </c>
      <c r="I250" s="14"/>
    </row>
    <row r="251" spans="1:9" x14ac:dyDescent="0.3">
      <c r="A251" s="14">
        <v>1</v>
      </c>
      <c r="B251" s="14">
        <v>111</v>
      </c>
      <c r="C251" s="14">
        <v>86</v>
      </c>
      <c r="D251" s="14">
        <v>30.1</v>
      </c>
      <c r="E251" s="14">
        <v>0.14299999999999999</v>
      </c>
      <c r="F251" s="14">
        <v>23</v>
      </c>
      <c r="G251" s="14">
        <v>0</v>
      </c>
      <c r="H251" s="14">
        <v>111</v>
      </c>
      <c r="I251" s="14"/>
    </row>
    <row r="252" spans="1:9" x14ac:dyDescent="0.3">
      <c r="A252" s="14">
        <v>9</v>
      </c>
      <c r="B252" s="14">
        <v>106</v>
      </c>
      <c r="C252" s="14">
        <v>52</v>
      </c>
      <c r="D252" s="14">
        <v>31.2</v>
      </c>
      <c r="E252" s="14">
        <v>0.38</v>
      </c>
      <c r="F252" s="14">
        <v>42</v>
      </c>
      <c r="G252" s="14">
        <v>0</v>
      </c>
      <c r="H252" s="14">
        <v>106</v>
      </c>
      <c r="I252" s="14"/>
    </row>
    <row r="253" spans="1:9" x14ac:dyDescent="0.3">
      <c r="A253" s="14">
        <v>2</v>
      </c>
      <c r="B253" s="14">
        <v>129</v>
      </c>
      <c r="C253" s="14">
        <v>84</v>
      </c>
      <c r="D253" s="14">
        <v>28</v>
      </c>
      <c r="E253" s="14">
        <v>0.28399999999999997</v>
      </c>
      <c r="F253" s="14">
        <v>27</v>
      </c>
      <c r="G253" s="14">
        <v>0</v>
      </c>
      <c r="H253" s="14">
        <v>129</v>
      </c>
      <c r="I253" s="14"/>
    </row>
    <row r="254" spans="1:9" x14ac:dyDescent="0.3">
      <c r="A254" s="14">
        <v>2</v>
      </c>
      <c r="B254" s="14">
        <v>90</v>
      </c>
      <c r="C254" s="14">
        <v>80</v>
      </c>
      <c r="D254" s="14">
        <v>24.4</v>
      </c>
      <c r="E254" s="14">
        <v>0.249</v>
      </c>
      <c r="F254" s="14">
        <v>24</v>
      </c>
      <c r="G254" s="14">
        <v>0</v>
      </c>
      <c r="H254" s="14">
        <v>90</v>
      </c>
      <c r="I254" s="14"/>
    </row>
    <row r="255" spans="1:9" x14ac:dyDescent="0.3">
      <c r="A255" s="14">
        <v>0</v>
      </c>
      <c r="B255" s="14">
        <v>86</v>
      </c>
      <c r="C255" s="14">
        <v>68</v>
      </c>
      <c r="D255" s="14">
        <v>35.799999999999997</v>
      </c>
      <c r="E255" s="14">
        <v>0.23799999999999999</v>
      </c>
      <c r="F255" s="14">
        <v>25</v>
      </c>
      <c r="G255" s="14">
        <v>0</v>
      </c>
      <c r="H255" s="14">
        <v>86</v>
      </c>
      <c r="I255" s="14"/>
    </row>
    <row r="256" spans="1:9" x14ac:dyDescent="0.3">
      <c r="A256" s="14">
        <v>12</v>
      </c>
      <c r="B256" s="14">
        <v>92</v>
      </c>
      <c r="C256" s="14">
        <v>62</v>
      </c>
      <c r="D256" s="14">
        <v>27.6</v>
      </c>
      <c r="E256" s="14">
        <v>0.92600000000000005</v>
      </c>
      <c r="F256" s="14">
        <v>44</v>
      </c>
      <c r="G256" s="14">
        <v>1</v>
      </c>
      <c r="H256" s="14" t="s">
        <v>36</v>
      </c>
      <c r="I256" s="14">
        <v>92</v>
      </c>
    </row>
    <row r="257" spans="1:9" x14ac:dyDescent="0.3">
      <c r="A257" s="14">
        <v>1</v>
      </c>
      <c r="B257" s="14">
        <v>113</v>
      </c>
      <c r="C257" s="14">
        <v>64</v>
      </c>
      <c r="D257" s="14">
        <v>33.6</v>
      </c>
      <c r="E257" s="14">
        <v>0.54300000000000004</v>
      </c>
      <c r="F257" s="14">
        <v>21</v>
      </c>
      <c r="G257" s="14">
        <v>1</v>
      </c>
      <c r="H257" s="14" t="s">
        <v>36</v>
      </c>
      <c r="I257" s="14">
        <v>113</v>
      </c>
    </row>
    <row r="258" spans="1:9" x14ac:dyDescent="0.3">
      <c r="A258" s="14">
        <v>3</v>
      </c>
      <c r="B258" s="14">
        <v>111</v>
      </c>
      <c r="C258" s="14">
        <v>56</v>
      </c>
      <c r="D258" s="14">
        <v>30.1</v>
      </c>
      <c r="E258" s="14">
        <v>0.55700000000000005</v>
      </c>
      <c r="F258" s="14">
        <v>30</v>
      </c>
      <c r="G258" s="14">
        <v>0</v>
      </c>
      <c r="H258" s="14">
        <v>111</v>
      </c>
      <c r="I258" s="14"/>
    </row>
    <row r="259" spans="1:9" x14ac:dyDescent="0.3">
      <c r="A259" s="14">
        <v>2</v>
      </c>
      <c r="B259" s="14">
        <v>114</v>
      </c>
      <c r="C259" s="14">
        <v>68</v>
      </c>
      <c r="D259" s="14">
        <v>28.7</v>
      </c>
      <c r="E259" s="14">
        <v>9.1999999999999998E-2</v>
      </c>
      <c r="F259" s="14">
        <v>25</v>
      </c>
      <c r="G259" s="14">
        <v>0</v>
      </c>
      <c r="H259" s="14">
        <v>114</v>
      </c>
      <c r="I259" s="14"/>
    </row>
    <row r="260" spans="1:9" x14ac:dyDescent="0.3">
      <c r="A260" s="14">
        <v>1</v>
      </c>
      <c r="B260" s="14">
        <v>193</v>
      </c>
      <c r="C260" s="14">
        <v>50</v>
      </c>
      <c r="D260" s="14">
        <v>25.9</v>
      </c>
      <c r="E260" s="14">
        <v>0.65500000000000003</v>
      </c>
      <c r="F260" s="14">
        <v>24</v>
      </c>
      <c r="G260" s="14">
        <v>0</v>
      </c>
      <c r="H260" s="14">
        <v>193</v>
      </c>
      <c r="I260" s="14"/>
    </row>
    <row r="261" spans="1:9" x14ac:dyDescent="0.3">
      <c r="A261" s="14">
        <v>11</v>
      </c>
      <c r="B261" s="14">
        <v>155</v>
      </c>
      <c r="C261" s="14">
        <v>76</v>
      </c>
      <c r="D261" s="14">
        <v>33.299999999999997</v>
      </c>
      <c r="E261" s="14">
        <v>1.353</v>
      </c>
      <c r="F261" s="14">
        <v>51</v>
      </c>
      <c r="G261" s="14">
        <v>1</v>
      </c>
      <c r="H261" s="14" t="s">
        <v>36</v>
      </c>
      <c r="I261" s="14">
        <v>155</v>
      </c>
    </row>
    <row r="262" spans="1:9" x14ac:dyDescent="0.3">
      <c r="A262" s="14">
        <v>3</v>
      </c>
      <c r="B262" s="14">
        <v>191</v>
      </c>
      <c r="C262" s="14">
        <v>68</v>
      </c>
      <c r="D262" s="14">
        <v>30.9</v>
      </c>
      <c r="E262" s="14">
        <v>0.29899999999999999</v>
      </c>
      <c r="F262" s="14">
        <v>34</v>
      </c>
      <c r="G262" s="14">
        <v>0</v>
      </c>
      <c r="H262" s="14">
        <v>191</v>
      </c>
      <c r="I262" s="14"/>
    </row>
    <row r="263" spans="1:9" x14ac:dyDescent="0.3">
      <c r="A263" s="14">
        <v>3</v>
      </c>
      <c r="B263" s="14">
        <v>141</v>
      </c>
      <c r="C263" s="14">
        <v>72</v>
      </c>
      <c r="D263" s="14">
        <v>30</v>
      </c>
      <c r="E263" s="14">
        <v>0.76100000000000001</v>
      </c>
      <c r="F263" s="14">
        <v>27</v>
      </c>
      <c r="G263" s="14">
        <v>1</v>
      </c>
      <c r="H263" s="14" t="s">
        <v>36</v>
      </c>
      <c r="I263" s="14">
        <v>141</v>
      </c>
    </row>
    <row r="264" spans="1:9" x14ac:dyDescent="0.3">
      <c r="A264" s="14">
        <v>4</v>
      </c>
      <c r="B264" s="14">
        <v>95</v>
      </c>
      <c r="C264" s="14">
        <v>70</v>
      </c>
      <c r="D264" s="14">
        <v>32.1</v>
      </c>
      <c r="E264" s="14">
        <v>0.61199999999999999</v>
      </c>
      <c r="F264" s="14">
        <v>24</v>
      </c>
      <c r="G264" s="14">
        <v>0</v>
      </c>
      <c r="H264" s="14">
        <v>95</v>
      </c>
      <c r="I264" s="14"/>
    </row>
    <row r="265" spans="1:9" x14ac:dyDescent="0.3">
      <c r="A265" s="14">
        <v>3</v>
      </c>
      <c r="B265" s="14">
        <v>142</v>
      </c>
      <c r="C265" s="14">
        <v>80</v>
      </c>
      <c r="D265" s="14">
        <v>32.4</v>
      </c>
      <c r="E265" s="14">
        <v>0.2</v>
      </c>
      <c r="F265" s="14">
        <v>63</v>
      </c>
      <c r="G265" s="14">
        <v>0</v>
      </c>
      <c r="H265" s="14">
        <v>142</v>
      </c>
      <c r="I265" s="14"/>
    </row>
    <row r="266" spans="1:9" x14ac:dyDescent="0.3">
      <c r="A266" s="14">
        <v>4</v>
      </c>
      <c r="B266" s="14">
        <v>123</v>
      </c>
      <c r="C266" s="14">
        <v>62</v>
      </c>
      <c r="D266" s="14">
        <v>32</v>
      </c>
      <c r="E266" s="14">
        <v>0.22600000000000001</v>
      </c>
      <c r="F266" s="14">
        <v>35</v>
      </c>
      <c r="G266" s="14">
        <v>1</v>
      </c>
      <c r="H266" s="14" t="s">
        <v>36</v>
      </c>
      <c r="I266" s="14">
        <v>123</v>
      </c>
    </row>
    <row r="267" spans="1:9" x14ac:dyDescent="0.3">
      <c r="A267" s="14">
        <v>5</v>
      </c>
      <c r="B267" s="14">
        <v>96</v>
      </c>
      <c r="C267" s="14">
        <v>74</v>
      </c>
      <c r="D267" s="14">
        <v>33.6</v>
      </c>
      <c r="E267" s="14">
        <v>0.997</v>
      </c>
      <c r="F267" s="14">
        <v>43</v>
      </c>
      <c r="G267" s="14">
        <v>0</v>
      </c>
      <c r="H267" s="14">
        <v>96</v>
      </c>
      <c r="I267" s="14"/>
    </row>
    <row r="268" spans="1:9" x14ac:dyDescent="0.3">
      <c r="A268" s="14">
        <v>0</v>
      </c>
      <c r="B268" s="14">
        <v>138</v>
      </c>
      <c r="C268" s="14">
        <v>72</v>
      </c>
      <c r="D268" s="14">
        <v>36.299999999999997</v>
      </c>
      <c r="E268" s="14">
        <v>0.93300000000000005</v>
      </c>
      <c r="F268" s="14">
        <v>25</v>
      </c>
      <c r="G268" s="14">
        <v>1</v>
      </c>
      <c r="H268" s="14" t="s">
        <v>36</v>
      </c>
      <c r="I268" s="14">
        <v>138</v>
      </c>
    </row>
    <row r="269" spans="1:9" x14ac:dyDescent="0.3">
      <c r="A269" s="14">
        <v>2</v>
      </c>
      <c r="B269" s="14">
        <v>128</v>
      </c>
      <c r="C269" s="14">
        <v>64</v>
      </c>
      <c r="D269" s="14">
        <v>40</v>
      </c>
      <c r="E269" s="14">
        <v>1.101</v>
      </c>
      <c r="F269" s="14">
        <v>24</v>
      </c>
      <c r="G269" s="14">
        <v>0</v>
      </c>
      <c r="H269" s="14">
        <v>128</v>
      </c>
      <c r="I269" s="14"/>
    </row>
    <row r="270" spans="1:9" x14ac:dyDescent="0.3">
      <c r="A270" s="14">
        <v>0</v>
      </c>
      <c r="B270" s="14">
        <v>102</v>
      </c>
      <c r="C270" s="14">
        <v>52</v>
      </c>
      <c r="D270" s="14">
        <v>25.1</v>
      </c>
      <c r="E270" s="14">
        <v>7.8E-2</v>
      </c>
      <c r="F270" s="14">
        <v>21</v>
      </c>
      <c r="G270" s="14">
        <v>0</v>
      </c>
      <c r="H270" s="14">
        <v>102</v>
      </c>
      <c r="I270" s="14"/>
    </row>
    <row r="271" spans="1:9" x14ac:dyDescent="0.3">
      <c r="A271" s="14">
        <v>2</v>
      </c>
      <c r="B271" s="14">
        <v>146</v>
      </c>
      <c r="C271" s="14">
        <v>72</v>
      </c>
      <c r="D271" s="14">
        <v>27.5</v>
      </c>
      <c r="E271" s="14">
        <v>0.24</v>
      </c>
      <c r="F271" s="14">
        <v>28</v>
      </c>
      <c r="G271" s="14">
        <v>1</v>
      </c>
      <c r="H271" s="14" t="s">
        <v>36</v>
      </c>
      <c r="I271" s="14">
        <v>146</v>
      </c>
    </row>
    <row r="272" spans="1:9" x14ac:dyDescent="0.3">
      <c r="A272" s="14">
        <v>10</v>
      </c>
      <c r="B272" s="14">
        <v>101</v>
      </c>
      <c r="C272" s="14">
        <v>86</v>
      </c>
      <c r="D272" s="14">
        <v>45.6</v>
      </c>
      <c r="E272" s="14">
        <v>1.1359999999999999</v>
      </c>
      <c r="F272" s="14">
        <v>38</v>
      </c>
      <c r="G272" s="14">
        <v>1</v>
      </c>
      <c r="H272" s="14" t="s">
        <v>36</v>
      </c>
      <c r="I272" s="14">
        <v>101</v>
      </c>
    </row>
    <row r="273" spans="1:9" x14ac:dyDescent="0.3">
      <c r="A273" s="14">
        <v>2</v>
      </c>
      <c r="B273" s="14">
        <v>108</v>
      </c>
      <c r="C273" s="14">
        <v>62</v>
      </c>
      <c r="D273" s="14">
        <v>25.2</v>
      </c>
      <c r="E273" s="14">
        <v>0.128</v>
      </c>
      <c r="F273" s="14">
        <v>21</v>
      </c>
      <c r="G273" s="14">
        <v>0</v>
      </c>
      <c r="H273" s="14">
        <v>108</v>
      </c>
      <c r="I273" s="14"/>
    </row>
    <row r="274" spans="1:9" x14ac:dyDescent="0.3">
      <c r="A274" s="14">
        <v>3</v>
      </c>
      <c r="B274" s="14">
        <v>122</v>
      </c>
      <c r="C274" s="14">
        <v>78</v>
      </c>
      <c r="D274" s="14">
        <v>23</v>
      </c>
      <c r="E274" s="14">
        <v>0.254</v>
      </c>
      <c r="F274" s="14">
        <v>40</v>
      </c>
      <c r="G274" s="14">
        <v>0</v>
      </c>
      <c r="H274" s="14">
        <v>122</v>
      </c>
      <c r="I274" s="14"/>
    </row>
    <row r="275" spans="1:9" x14ac:dyDescent="0.3">
      <c r="A275" s="14">
        <v>1</v>
      </c>
      <c r="B275" s="14">
        <v>71</v>
      </c>
      <c r="C275" s="14">
        <v>78</v>
      </c>
      <c r="D275" s="14">
        <v>33.200000000000003</v>
      </c>
      <c r="E275" s="14">
        <v>0.42199999999999999</v>
      </c>
      <c r="F275" s="14">
        <v>21</v>
      </c>
      <c r="G275" s="14">
        <v>0</v>
      </c>
      <c r="H275" s="14">
        <v>71</v>
      </c>
      <c r="I275" s="14"/>
    </row>
    <row r="276" spans="1:9" x14ac:dyDescent="0.3">
      <c r="A276" s="14">
        <v>13</v>
      </c>
      <c r="B276" s="14">
        <v>106</v>
      </c>
      <c r="C276" s="14">
        <v>70</v>
      </c>
      <c r="D276" s="14">
        <v>34.200000000000003</v>
      </c>
      <c r="E276" s="14">
        <v>0.251</v>
      </c>
      <c r="F276" s="14">
        <v>52</v>
      </c>
      <c r="G276" s="14">
        <v>0</v>
      </c>
      <c r="H276" s="14">
        <v>106</v>
      </c>
      <c r="I276" s="14"/>
    </row>
    <row r="277" spans="1:9" x14ac:dyDescent="0.3">
      <c r="A277" s="14">
        <v>2</v>
      </c>
      <c r="B277" s="14">
        <v>100</v>
      </c>
      <c r="C277" s="14">
        <v>70</v>
      </c>
      <c r="D277" s="14">
        <v>40.5</v>
      </c>
      <c r="E277" s="14">
        <v>0.67700000000000005</v>
      </c>
      <c r="F277" s="14">
        <v>25</v>
      </c>
      <c r="G277" s="14">
        <v>0</v>
      </c>
      <c r="H277" s="14">
        <v>100</v>
      </c>
      <c r="I277" s="14"/>
    </row>
    <row r="278" spans="1:9" x14ac:dyDescent="0.3">
      <c r="A278" s="14">
        <v>7</v>
      </c>
      <c r="B278" s="14">
        <v>106</v>
      </c>
      <c r="C278" s="14">
        <v>60</v>
      </c>
      <c r="D278" s="14">
        <v>26.5</v>
      </c>
      <c r="E278" s="14">
        <v>0.29599999999999999</v>
      </c>
      <c r="F278" s="14">
        <v>29</v>
      </c>
      <c r="G278" s="14">
        <v>1</v>
      </c>
      <c r="H278" s="14" t="s">
        <v>36</v>
      </c>
      <c r="I278" s="14">
        <v>106</v>
      </c>
    </row>
    <row r="279" spans="1:9" x14ac:dyDescent="0.3">
      <c r="A279" s="14">
        <v>0</v>
      </c>
      <c r="B279" s="14">
        <v>104</v>
      </c>
      <c r="C279" s="14">
        <v>64</v>
      </c>
      <c r="D279" s="14">
        <v>27.8</v>
      </c>
      <c r="E279" s="14">
        <v>0.45400000000000001</v>
      </c>
      <c r="F279" s="14">
        <v>23</v>
      </c>
      <c r="G279" s="14">
        <v>0</v>
      </c>
      <c r="H279" s="14">
        <v>104</v>
      </c>
      <c r="I279" s="14"/>
    </row>
    <row r="280" spans="1:9" x14ac:dyDescent="0.3">
      <c r="A280" s="14">
        <v>5</v>
      </c>
      <c r="B280" s="14">
        <v>114</v>
      </c>
      <c r="C280" s="14">
        <v>74</v>
      </c>
      <c r="D280" s="14">
        <v>24.9</v>
      </c>
      <c r="E280" s="14">
        <v>0.74399999999999999</v>
      </c>
      <c r="F280" s="14">
        <v>57</v>
      </c>
      <c r="G280" s="14">
        <v>0</v>
      </c>
      <c r="H280" s="14">
        <v>114</v>
      </c>
      <c r="I280" s="14"/>
    </row>
    <row r="281" spans="1:9" x14ac:dyDescent="0.3">
      <c r="A281" s="14">
        <v>2</v>
      </c>
      <c r="B281" s="14">
        <v>108</v>
      </c>
      <c r="C281" s="14">
        <v>62</v>
      </c>
      <c r="D281" s="14">
        <v>25.3</v>
      </c>
      <c r="E281" s="14">
        <v>0.88100000000000001</v>
      </c>
      <c r="F281" s="14">
        <v>22</v>
      </c>
      <c r="G281" s="14">
        <v>0</v>
      </c>
      <c r="H281" s="14">
        <v>108</v>
      </c>
      <c r="I281" s="14"/>
    </row>
    <row r="282" spans="1:9" x14ac:dyDescent="0.3">
      <c r="A282" s="14">
        <v>0</v>
      </c>
      <c r="B282" s="14">
        <v>146</v>
      </c>
      <c r="C282" s="14">
        <v>70</v>
      </c>
      <c r="D282" s="14">
        <v>37.9</v>
      </c>
      <c r="E282" s="14">
        <v>0.33400000000000002</v>
      </c>
      <c r="F282" s="14">
        <v>28</v>
      </c>
      <c r="G282" s="14">
        <v>1</v>
      </c>
      <c r="H282" s="14" t="s">
        <v>36</v>
      </c>
      <c r="I282" s="14">
        <v>146</v>
      </c>
    </row>
    <row r="283" spans="1:9" x14ac:dyDescent="0.3">
      <c r="A283" s="14">
        <v>10</v>
      </c>
      <c r="B283" s="14">
        <v>129</v>
      </c>
      <c r="C283" s="14">
        <v>76</v>
      </c>
      <c r="D283" s="14">
        <v>35.9</v>
      </c>
      <c r="E283" s="14">
        <v>0.28000000000000003</v>
      </c>
      <c r="F283" s="14">
        <v>39</v>
      </c>
      <c r="G283" s="14">
        <v>0</v>
      </c>
      <c r="H283" s="14">
        <v>129</v>
      </c>
      <c r="I283" s="14"/>
    </row>
    <row r="284" spans="1:9" x14ac:dyDescent="0.3">
      <c r="A284" s="14">
        <v>7</v>
      </c>
      <c r="B284" s="14">
        <v>133</v>
      </c>
      <c r="C284" s="14">
        <v>88</v>
      </c>
      <c r="D284" s="14">
        <v>32.4</v>
      </c>
      <c r="E284" s="14">
        <v>0.26200000000000001</v>
      </c>
      <c r="F284" s="14">
        <v>37</v>
      </c>
      <c r="G284" s="14">
        <v>0</v>
      </c>
      <c r="H284" s="14">
        <v>133</v>
      </c>
      <c r="I284" s="14"/>
    </row>
    <row r="285" spans="1:9" x14ac:dyDescent="0.3">
      <c r="A285" s="14">
        <v>7</v>
      </c>
      <c r="B285" s="14">
        <v>161</v>
      </c>
      <c r="C285" s="14">
        <v>86</v>
      </c>
      <c r="D285" s="14">
        <v>30.4</v>
      </c>
      <c r="E285" s="14">
        <v>0.16500000000000001</v>
      </c>
      <c r="F285" s="14">
        <v>47</v>
      </c>
      <c r="G285" s="14">
        <v>1</v>
      </c>
      <c r="H285" s="14" t="s">
        <v>36</v>
      </c>
      <c r="I285" s="14">
        <v>161</v>
      </c>
    </row>
    <row r="286" spans="1:9" x14ac:dyDescent="0.3">
      <c r="A286" s="14">
        <v>2</v>
      </c>
      <c r="B286" s="14">
        <v>108</v>
      </c>
      <c r="C286" s="14">
        <v>80</v>
      </c>
      <c r="D286" s="14">
        <v>27</v>
      </c>
      <c r="E286" s="14">
        <v>0.25900000000000001</v>
      </c>
      <c r="F286" s="14">
        <v>52</v>
      </c>
      <c r="G286" s="14">
        <v>1</v>
      </c>
      <c r="H286" s="14" t="s">
        <v>36</v>
      </c>
      <c r="I286" s="14">
        <v>108</v>
      </c>
    </row>
    <row r="287" spans="1:9" x14ac:dyDescent="0.3">
      <c r="A287" s="14">
        <v>7</v>
      </c>
      <c r="B287" s="14">
        <v>136</v>
      </c>
      <c r="C287" s="14">
        <v>74</v>
      </c>
      <c r="D287" s="14">
        <v>26</v>
      </c>
      <c r="E287" s="14">
        <v>0.64700000000000002</v>
      </c>
      <c r="F287" s="14">
        <v>51</v>
      </c>
      <c r="G287" s="14">
        <v>0</v>
      </c>
      <c r="H287" s="14">
        <v>136</v>
      </c>
      <c r="I287" s="14"/>
    </row>
    <row r="288" spans="1:9" x14ac:dyDescent="0.3">
      <c r="A288" s="14">
        <v>5</v>
      </c>
      <c r="B288" s="14">
        <v>155</v>
      </c>
      <c r="C288" s="14">
        <v>84</v>
      </c>
      <c r="D288" s="14">
        <v>38.700000000000003</v>
      </c>
      <c r="E288" s="14">
        <v>0.61899999999999999</v>
      </c>
      <c r="F288" s="14">
        <v>34</v>
      </c>
      <c r="G288" s="14">
        <v>0</v>
      </c>
      <c r="H288" s="14">
        <v>155</v>
      </c>
      <c r="I288" s="14"/>
    </row>
    <row r="289" spans="1:9" x14ac:dyDescent="0.3">
      <c r="A289" s="14">
        <v>1</v>
      </c>
      <c r="B289" s="14">
        <v>119</v>
      </c>
      <c r="C289" s="14">
        <v>86</v>
      </c>
      <c r="D289" s="14">
        <v>45.6</v>
      </c>
      <c r="E289" s="14">
        <v>0.80800000000000005</v>
      </c>
      <c r="F289" s="14">
        <v>29</v>
      </c>
      <c r="G289" s="14">
        <v>1</v>
      </c>
      <c r="H289" s="14" t="s">
        <v>36</v>
      </c>
      <c r="I289" s="14">
        <v>119</v>
      </c>
    </row>
    <row r="290" spans="1:9" x14ac:dyDescent="0.3">
      <c r="A290" s="14">
        <v>4</v>
      </c>
      <c r="B290" s="14">
        <v>96</v>
      </c>
      <c r="C290" s="14">
        <v>56</v>
      </c>
      <c r="D290" s="14">
        <v>20.8</v>
      </c>
      <c r="E290" s="14">
        <v>0.34</v>
      </c>
      <c r="F290" s="14">
        <v>26</v>
      </c>
      <c r="G290" s="14">
        <v>0</v>
      </c>
      <c r="H290" s="14">
        <v>96</v>
      </c>
      <c r="I290" s="14"/>
    </row>
    <row r="291" spans="1:9" x14ac:dyDescent="0.3">
      <c r="A291" s="14">
        <v>5</v>
      </c>
      <c r="B291" s="14">
        <v>108</v>
      </c>
      <c r="C291" s="14">
        <v>72</v>
      </c>
      <c r="D291" s="14">
        <v>36.1</v>
      </c>
      <c r="E291" s="14">
        <v>0.26300000000000001</v>
      </c>
      <c r="F291" s="14">
        <v>33</v>
      </c>
      <c r="G291" s="14">
        <v>0</v>
      </c>
      <c r="H291" s="14">
        <v>108</v>
      </c>
      <c r="I291" s="14"/>
    </row>
    <row r="292" spans="1:9" x14ac:dyDescent="0.3">
      <c r="A292" s="14">
        <v>0</v>
      </c>
      <c r="B292" s="14">
        <v>78</v>
      </c>
      <c r="C292" s="14">
        <v>88</v>
      </c>
      <c r="D292" s="14">
        <v>36.9</v>
      </c>
      <c r="E292" s="14">
        <v>0.434</v>
      </c>
      <c r="F292" s="14">
        <v>21</v>
      </c>
      <c r="G292" s="14">
        <v>0</v>
      </c>
      <c r="H292" s="14">
        <v>78</v>
      </c>
      <c r="I292" s="14"/>
    </row>
    <row r="293" spans="1:9" x14ac:dyDescent="0.3">
      <c r="A293" s="14">
        <v>0</v>
      </c>
      <c r="B293" s="14">
        <v>107</v>
      </c>
      <c r="C293" s="14">
        <v>62</v>
      </c>
      <c r="D293" s="14">
        <v>36.6</v>
      </c>
      <c r="E293" s="14">
        <v>0.75700000000000001</v>
      </c>
      <c r="F293" s="14">
        <v>25</v>
      </c>
      <c r="G293" s="14">
        <v>1</v>
      </c>
      <c r="H293" s="14" t="s">
        <v>36</v>
      </c>
      <c r="I293" s="14">
        <v>107</v>
      </c>
    </row>
    <row r="294" spans="1:9" x14ac:dyDescent="0.3">
      <c r="A294" s="14">
        <v>2</v>
      </c>
      <c r="B294" s="14">
        <v>128</v>
      </c>
      <c r="C294" s="14">
        <v>78</v>
      </c>
      <c r="D294" s="14">
        <v>43.3</v>
      </c>
      <c r="E294" s="14">
        <v>1.224</v>
      </c>
      <c r="F294" s="14">
        <v>31</v>
      </c>
      <c r="G294" s="14">
        <v>1</v>
      </c>
      <c r="H294" s="14" t="s">
        <v>36</v>
      </c>
      <c r="I294" s="14">
        <v>128</v>
      </c>
    </row>
    <row r="295" spans="1:9" x14ac:dyDescent="0.3">
      <c r="A295" s="14">
        <v>1</v>
      </c>
      <c r="B295" s="14">
        <v>128</v>
      </c>
      <c r="C295" s="14">
        <v>48</v>
      </c>
      <c r="D295" s="14">
        <v>40.5</v>
      </c>
      <c r="E295" s="14">
        <v>0.61299999999999999</v>
      </c>
      <c r="F295" s="14">
        <v>24</v>
      </c>
      <c r="G295" s="14">
        <v>1</v>
      </c>
      <c r="H295" s="14" t="s">
        <v>36</v>
      </c>
      <c r="I295" s="14">
        <v>128</v>
      </c>
    </row>
    <row r="296" spans="1:9" x14ac:dyDescent="0.3">
      <c r="A296" s="14">
        <v>0</v>
      </c>
      <c r="B296" s="14">
        <v>161</v>
      </c>
      <c r="C296" s="14">
        <v>50</v>
      </c>
      <c r="D296" s="14">
        <v>21.9</v>
      </c>
      <c r="E296" s="14">
        <v>0.254</v>
      </c>
      <c r="F296" s="14">
        <v>65</v>
      </c>
      <c r="G296" s="14">
        <v>0</v>
      </c>
      <c r="H296" s="14">
        <v>161</v>
      </c>
      <c r="I296" s="14"/>
    </row>
    <row r="297" spans="1:9" x14ac:dyDescent="0.3">
      <c r="A297" s="14">
        <v>6</v>
      </c>
      <c r="B297" s="14">
        <v>151</v>
      </c>
      <c r="C297" s="14">
        <v>62</v>
      </c>
      <c r="D297" s="14">
        <v>35.5</v>
      </c>
      <c r="E297" s="14">
        <v>0.69199999999999995</v>
      </c>
      <c r="F297" s="14">
        <v>28</v>
      </c>
      <c r="G297" s="14">
        <v>0</v>
      </c>
      <c r="H297" s="14">
        <v>151</v>
      </c>
      <c r="I297" s="14"/>
    </row>
    <row r="298" spans="1:9" x14ac:dyDescent="0.3">
      <c r="A298" s="14">
        <v>2</v>
      </c>
      <c r="B298" s="14">
        <v>146</v>
      </c>
      <c r="C298" s="14">
        <v>70</v>
      </c>
      <c r="D298" s="14">
        <v>28</v>
      </c>
      <c r="E298" s="14">
        <v>0.33700000000000002</v>
      </c>
      <c r="F298" s="14">
        <v>29</v>
      </c>
      <c r="G298" s="14">
        <v>1</v>
      </c>
      <c r="H298" s="14" t="s">
        <v>36</v>
      </c>
      <c r="I298" s="14">
        <v>146</v>
      </c>
    </row>
    <row r="299" spans="1:9" x14ac:dyDescent="0.3">
      <c r="A299" s="14">
        <v>0</v>
      </c>
      <c r="B299" s="14">
        <v>126</v>
      </c>
      <c r="C299" s="14">
        <v>84</v>
      </c>
      <c r="D299" s="14">
        <v>30.7</v>
      </c>
      <c r="E299" s="14">
        <v>0.52</v>
      </c>
      <c r="F299" s="14">
        <v>24</v>
      </c>
      <c r="G299" s="14">
        <v>0</v>
      </c>
      <c r="H299" s="14">
        <v>126</v>
      </c>
      <c r="I299" s="14"/>
    </row>
    <row r="300" spans="1:9" x14ac:dyDescent="0.3">
      <c r="A300" s="14">
        <v>14</v>
      </c>
      <c r="B300" s="14">
        <v>100</v>
      </c>
      <c r="C300" s="14">
        <v>78</v>
      </c>
      <c r="D300" s="14">
        <v>36.6</v>
      </c>
      <c r="E300" s="14">
        <v>0.41199999999999998</v>
      </c>
      <c r="F300" s="14">
        <v>46</v>
      </c>
      <c r="G300" s="14">
        <v>1</v>
      </c>
      <c r="H300" s="14" t="s">
        <v>36</v>
      </c>
      <c r="I300" s="14">
        <v>100</v>
      </c>
    </row>
    <row r="301" spans="1:9" x14ac:dyDescent="0.3">
      <c r="A301" s="14">
        <v>8</v>
      </c>
      <c r="B301" s="14">
        <v>112</v>
      </c>
      <c r="C301" s="14">
        <v>72</v>
      </c>
      <c r="D301" s="14">
        <v>23.6</v>
      </c>
      <c r="E301" s="14">
        <v>0.84</v>
      </c>
      <c r="F301" s="14">
        <v>58</v>
      </c>
      <c r="G301" s="14">
        <v>0</v>
      </c>
      <c r="H301" s="14">
        <v>112</v>
      </c>
      <c r="I301" s="14"/>
    </row>
    <row r="302" spans="1:9" x14ac:dyDescent="0.3">
      <c r="A302" s="14">
        <v>0</v>
      </c>
      <c r="B302" s="14">
        <v>167</v>
      </c>
      <c r="C302" s="14">
        <v>72</v>
      </c>
      <c r="D302" s="14">
        <v>32.299999999999997</v>
      </c>
      <c r="E302" s="14">
        <v>0.83899999999999997</v>
      </c>
      <c r="F302" s="14">
        <v>30</v>
      </c>
      <c r="G302" s="14">
        <v>1</v>
      </c>
      <c r="H302" s="14" t="s">
        <v>36</v>
      </c>
      <c r="I302" s="14">
        <v>167</v>
      </c>
    </row>
    <row r="303" spans="1:9" x14ac:dyDescent="0.3">
      <c r="A303" s="14">
        <v>2</v>
      </c>
      <c r="B303" s="14">
        <v>144</v>
      </c>
      <c r="C303" s="14">
        <v>58</v>
      </c>
      <c r="D303" s="14">
        <v>31.6</v>
      </c>
      <c r="E303" s="14">
        <v>0.42199999999999999</v>
      </c>
      <c r="F303" s="14">
        <v>25</v>
      </c>
      <c r="G303" s="14">
        <v>1</v>
      </c>
      <c r="H303" s="14" t="s">
        <v>36</v>
      </c>
      <c r="I303" s="14">
        <v>144</v>
      </c>
    </row>
    <row r="304" spans="1:9" x14ac:dyDescent="0.3">
      <c r="A304" s="14">
        <v>5</v>
      </c>
      <c r="B304" s="14">
        <v>77</v>
      </c>
      <c r="C304" s="14">
        <v>82</v>
      </c>
      <c r="D304" s="14">
        <v>35.799999999999997</v>
      </c>
      <c r="E304" s="14">
        <v>0.156</v>
      </c>
      <c r="F304" s="14">
        <v>35</v>
      </c>
      <c r="G304" s="14">
        <v>0</v>
      </c>
      <c r="H304" s="14">
        <v>77</v>
      </c>
      <c r="I304" s="14"/>
    </row>
    <row r="305" spans="1:9" x14ac:dyDescent="0.3">
      <c r="A305" s="14">
        <v>5</v>
      </c>
      <c r="B305" s="14">
        <v>115</v>
      </c>
      <c r="C305" s="14">
        <v>98</v>
      </c>
      <c r="D305" s="14">
        <v>52.9</v>
      </c>
      <c r="E305" s="14">
        <v>0.20899999999999999</v>
      </c>
      <c r="F305" s="14">
        <v>28</v>
      </c>
      <c r="G305" s="14">
        <v>1</v>
      </c>
      <c r="H305" s="14" t="s">
        <v>36</v>
      </c>
      <c r="I305" s="14">
        <v>115</v>
      </c>
    </row>
    <row r="306" spans="1:9" x14ac:dyDescent="0.3">
      <c r="A306" s="14">
        <v>3</v>
      </c>
      <c r="B306" s="14">
        <v>150</v>
      </c>
      <c r="C306" s="14">
        <v>76</v>
      </c>
      <c r="D306" s="14">
        <v>21</v>
      </c>
      <c r="E306" s="14">
        <v>0.20699999999999999</v>
      </c>
      <c r="F306" s="14">
        <v>37</v>
      </c>
      <c r="G306" s="14">
        <v>0</v>
      </c>
      <c r="H306" s="14">
        <v>150</v>
      </c>
      <c r="I306" s="14"/>
    </row>
    <row r="307" spans="1:9" x14ac:dyDescent="0.3">
      <c r="A307" s="14">
        <v>2</v>
      </c>
      <c r="B307" s="14">
        <v>120</v>
      </c>
      <c r="C307" s="14">
        <v>76</v>
      </c>
      <c r="D307" s="14">
        <v>39.700000000000003</v>
      </c>
      <c r="E307" s="14">
        <v>0.215</v>
      </c>
      <c r="F307" s="14">
        <v>29</v>
      </c>
      <c r="G307" s="14">
        <v>0</v>
      </c>
      <c r="H307" s="14">
        <v>120</v>
      </c>
      <c r="I307" s="14"/>
    </row>
    <row r="308" spans="1:9" x14ac:dyDescent="0.3">
      <c r="A308" s="14">
        <v>10</v>
      </c>
      <c r="B308" s="14">
        <v>161</v>
      </c>
      <c r="C308" s="14">
        <v>68</v>
      </c>
      <c r="D308" s="14">
        <v>25.5</v>
      </c>
      <c r="E308" s="14">
        <v>0.32600000000000001</v>
      </c>
      <c r="F308" s="14">
        <v>47</v>
      </c>
      <c r="G308" s="14">
        <v>1</v>
      </c>
      <c r="H308" s="14" t="s">
        <v>36</v>
      </c>
      <c r="I308" s="14">
        <v>161</v>
      </c>
    </row>
    <row r="309" spans="1:9" x14ac:dyDescent="0.3">
      <c r="A309" s="14">
        <v>0</v>
      </c>
      <c r="B309" s="14">
        <v>137</v>
      </c>
      <c r="C309" s="14">
        <v>68</v>
      </c>
      <c r="D309" s="14">
        <v>24.8</v>
      </c>
      <c r="E309" s="14">
        <v>0.14299999999999999</v>
      </c>
      <c r="F309" s="14">
        <v>21</v>
      </c>
      <c r="G309" s="14">
        <v>0</v>
      </c>
      <c r="H309" s="14">
        <v>137</v>
      </c>
      <c r="I309" s="14"/>
    </row>
    <row r="310" spans="1:9" x14ac:dyDescent="0.3">
      <c r="A310" s="14">
        <v>0</v>
      </c>
      <c r="B310" s="14">
        <v>128</v>
      </c>
      <c r="C310" s="14">
        <v>68</v>
      </c>
      <c r="D310" s="14">
        <v>30.5</v>
      </c>
      <c r="E310" s="14">
        <v>1.391</v>
      </c>
      <c r="F310" s="14">
        <v>25</v>
      </c>
      <c r="G310" s="14">
        <v>1</v>
      </c>
      <c r="H310" s="14" t="s">
        <v>36</v>
      </c>
      <c r="I310" s="14">
        <v>128</v>
      </c>
    </row>
    <row r="311" spans="1:9" x14ac:dyDescent="0.3">
      <c r="A311" s="14">
        <v>2</v>
      </c>
      <c r="B311" s="14">
        <v>124</v>
      </c>
      <c r="C311" s="14">
        <v>68</v>
      </c>
      <c r="D311" s="14">
        <v>32.9</v>
      </c>
      <c r="E311" s="14">
        <v>0.875</v>
      </c>
      <c r="F311" s="14">
        <v>30</v>
      </c>
      <c r="G311" s="14">
        <v>1</v>
      </c>
      <c r="H311" s="14" t="s">
        <v>36</v>
      </c>
      <c r="I311" s="14">
        <v>124</v>
      </c>
    </row>
    <row r="312" spans="1:9" x14ac:dyDescent="0.3">
      <c r="A312" s="14">
        <v>6</v>
      </c>
      <c r="B312" s="14">
        <v>80</v>
      </c>
      <c r="C312" s="14">
        <v>66</v>
      </c>
      <c r="D312" s="14">
        <v>26.2</v>
      </c>
      <c r="E312" s="14">
        <v>0.313</v>
      </c>
      <c r="F312" s="14">
        <v>41</v>
      </c>
      <c r="G312" s="14">
        <v>0</v>
      </c>
      <c r="H312" s="14">
        <v>80</v>
      </c>
      <c r="I312" s="14"/>
    </row>
    <row r="313" spans="1:9" x14ac:dyDescent="0.3">
      <c r="A313" s="14">
        <v>0</v>
      </c>
      <c r="B313" s="14">
        <v>106</v>
      </c>
      <c r="C313" s="14">
        <v>70</v>
      </c>
      <c r="D313" s="14">
        <v>39.4</v>
      </c>
      <c r="E313" s="14">
        <v>0.60499999999999998</v>
      </c>
      <c r="F313" s="14">
        <v>22</v>
      </c>
      <c r="G313" s="14">
        <v>0</v>
      </c>
      <c r="H313" s="14">
        <v>106</v>
      </c>
      <c r="I313" s="14"/>
    </row>
    <row r="314" spans="1:9" x14ac:dyDescent="0.3">
      <c r="A314" s="14">
        <v>2</v>
      </c>
      <c r="B314" s="14">
        <v>155</v>
      </c>
      <c r="C314" s="14">
        <v>74</v>
      </c>
      <c r="D314" s="14">
        <v>26.6</v>
      </c>
      <c r="E314" s="14">
        <v>0.433</v>
      </c>
      <c r="F314" s="14">
        <v>27</v>
      </c>
      <c r="G314" s="14">
        <v>1</v>
      </c>
      <c r="H314" s="14" t="s">
        <v>36</v>
      </c>
      <c r="I314" s="14">
        <v>155</v>
      </c>
    </row>
    <row r="315" spans="1:9" x14ac:dyDescent="0.3">
      <c r="A315" s="14">
        <v>3</v>
      </c>
      <c r="B315" s="14">
        <v>113</v>
      </c>
      <c r="C315" s="14">
        <v>50</v>
      </c>
      <c r="D315" s="14">
        <v>29.5</v>
      </c>
      <c r="E315" s="14">
        <v>0.626</v>
      </c>
      <c r="F315" s="14">
        <v>25</v>
      </c>
      <c r="G315" s="14">
        <v>0</v>
      </c>
      <c r="H315" s="14">
        <v>113</v>
      </c>
      <c r="I315" s="14"/>
    </row>
    <row r="316" spans="1:9" x14ac:dyDescent="0.3">
      <c r="A316" s="14">
        <v>7</v>
      </c>
      <c r="B316" s="14">
        <v>109</v>
      </c>
      <c r="C316" s="14">
        <v>80</v>
      </c>
      <c r="D316" s="14">
        <v>35.9</v>
      </c>
      <c r="E316" s="14">
        <v>1.127</v>
      </c>
      <c r="F316" s="14">
        <v>43</v>
      </c>
      <c r="G316" s="14">
        <v>1</v>
      </c>
      <c r="H316" s="14" t="s">
        <v>36</v>
      </c>
      <c r="I316" s="14">
        <v>109</v>
      </c>
    </row>
    <row r="317" spans="1:9" x14ac:dyDescent="0.3">
      <c r="A317" s="14">
        <v>2</v>
      </c>
      <c r="B317" s="14">
        <v>112</v>
      </c>
      <c r="C317" s="14">
        <v>68</v>
      </c>
      <c r="D317" s="14">
        <v>34.1</v>
      </c>
      <c r="E317" s="14">
        <v>0.315</v>
      </c>
      <c r="F317" s="14">
        <v>26</v>
      </c>
      <c r="G317" s="14">
        <v>0</v>
      </c>
      <c r="H317" s="14">
        <v>112</v>
      </c>
      <c r="I317" s="14"/>
    </row>
    <row r="318" spans="1:9" x14ac:dyDescent="0.3">
      <c r="A318" s="14">
        <v>3</v>
      </c>
      <c r="B318" s="14">
        <v>99</v>
      </c>
      <c r="C318" s="14">
        <v>80</v>
      </c>
      <c r="D318" s="14">
        <v>19.3</v>
      </c>
      <c r="E318" s="14">
        <v>0.28399999999999997</v>
      </c>
      <c r="F318" s="14">
        <v>30</v>
      </c>
      <c r="G318" s="14">
        <v>0</v>
      </c>
      <c r="H318" s="14">
        <v>99</v>
      </c>
      <c r="I318" s="14"/>
    </row>
    <row r="319" spans="1:9" x14ac:dyDescent="0.3">
      <c r="A319" s="14">
        <v>3</v>
      </c>
      <c r="B319" s="14">
        <v>182</v>
      </c>
      <c r="C319" s="14">
        <v>74</v>
      </c>
      <c r="D319" s="14">
        <v>30.5</v>
      </c>
      <c r="E319" s="14">
        <v>0.34499999999999997</v>
      </c>
      <c r="F319" s="14">
        <v>29</v>
      </c>
      <c r="G319" s="14">
        <v>1</v>
      </c>
      <c r="H319" s="14" t="s">
        <v>36</v>
      </c>
      <c r="I319" s="14">
        <v>182</v>
      </c>
    </row>
    <row r="320" spans="1:9" x14ac:dyDescent="0.3">
      <c r="A320" s="14">
        <v>3</v>
      </c>
      <c r="B320" s="14">
        <v>115</v>
      </c>
      <c r="C320" s="14">
        <v>66</v>
      </c>
      <c r="D320" s="14">
        <v>38.1</v>
      </c>
      <c r="E320" s="14">
        <v>0.15</v>
      </c>
      <c r="F320" s="14">
        <v>28</v>
      </c>
      <c r="G320" s="14">
        <v>0</v>
      </c>
      <c r="H320" s="14">
        <v>115</v>
      </c>
      <c r="I320" s="14"/>
    </row>
    <row r="321" spans="1:9" x14ac:dyDescent="0.3">
      <c r="A321" s="14">
        <v>6</v>
      </c>
      <c r="B321" s="14">
        <v>194</v>
      </c>
      <c r="C321" s="14">
        <v>78</v>
      </c>
      <c r="D321" s="14">
        <v>23.5</v>
      </c>
      <c r="E321" s="14">
        <v>0.129</v>
      </c>
      <c r="F321" s="14">
        <v>59</v>
      </c>
      <c r="G321" s="14">
        <v>1</v>
      </c>
      <c r="H321" s="14" t="s">
        <v>36</v>
      </c>
      <c r="I321" s="14">
        <v>194</v>
      </c>
    </row>
    <row r="322" spans="1:9" x14ac:dyDescent="0.3">
      <c r="A322" s="14">
        <v>4</v>
      </c>
      <c r="B322" s="14">
        <v>129</v>
      </c>
      <c r="C322" s="14">
        <v>60</v>
      </c>
      <c r="D322" s="14">
        <v>27.5</v>
      </c>
      <c r="E322" s="14">
        <v>0.52700000000000002</v>
      </c>
      <c r="F322" s="14">
        <v>31</v>
      </c>
      <c r="G322" s="14">
        <v>0</v>
      </c>
      <c r="H322" s="14">
        <v>129</v>
      </c>
      <c r="I322" s="14"/>
    </row>
    <row r="323" spans="1:9" x14ac:dyDescent="0.3">
      <c r="A323" s="14">
        <v>3</v>
      </c>
      <c r="B323" s="14">
        <v>112</v>
      </c>
      <c r="C323" s="14">
        <v>74</v>
      </c>
      <c r="D323" s="14">
        <v>31.6</v>
      </c>
      <c r="E323" s="14">
        <v>0.19700000000000001</v>
      </c>
      <c r="F323" s="14">
        <v>25</v>
      </c>
      <c r="G323" s="14">
        <v>1</v>
      </c>
      <c r="H323" s="14" t="s">
        <v>36</v>
      </c>
      <c r="I323" s="14">
        <v>112</v>
      </c>
    </row>
    <row r="324" spans="1:9" x14ac:dyDescent="0.3">
      <c r="A324" s="14">
        <v>0</v>
      </c>
      <c r="B324" s="14">
        <v>124</v>
      </c>
      <c r="C324" s="14">
        <v>70</v>
      </c>
      <c r="D324" s="14">
        <v>27.4</v>
      </c>
      <c r="E324" s="14">
        <v>0.254</v>
      </c>
      <c r="F324" s="14">
        <v>36</v>
      </c>
      <c r="G324" s="14">
        <v>1</v>
      </c>
      <c r="H324" s="14" t="s">
        <v>36</v>
      </c>
      <c r="I324" s="14">
        <v>124</v>
      </c>
    </row>
    <row r="325" spans="1:9" x14ac:dyDescent="0.3">
      <c r="A325" s="14">
        <v>13</v>
      </c>
      <c r="B325" s="14">
        <v>152</v>
      </c>
      <c r="C325" s="14">
        <v>90</v>
      </c>
      <c r="D325" s="14">
        <v>26.8</v>
      </c>
      <c r="E325" s="14">
        <v>0.73099999999999998</v>
      </c>
      <c r="F325" s="14">
        <v>43</v>
      </c>
      <c r="G325" s="14">
        <v>1</v>
      </c>
      <c r="H325" s="14" t="s">
        <v>36</v>
      </c>
      <c r="I325" s="14">
        <v>152</v>
      </c>
    </row>
    <row r="326" spans="1:9" x14ac:dyDescent="0.3">
      <c r="A326" s="14">
        <v>2</v>
      </c>
      <c r="B326" s="14">
        <v>112</v>
      </c>
      <c r="C326" s="14">
        <v>75</v>
      </c>
      <c r="D326" s="14">
        <v>35.700000000000003</v>
      </c>
      <c r="E326" s="14">
        <v>0.14799999999999999</v>
      </c>
      <c r="F326" s="14">
        <v>21</v>
      </c>
      <c r="G326" s="14">
        <v>0</v>
      </c>
      <c r="H326" s="14">
        <v>112</v>
      </c>
      <c r="I326" s="14"/>
    </row>
    <row r="327" spans="1:9" x14ac:dyDescent="0.3">
      <c r="A327" s="14">
        <v>1</v>
      </c>
      <c r="B327" s="14">
        <v>157</v>
      </c>
      <c r="C327" s="14">
        <v>72</v>
      </c>
      <c r="D327" s="14">
        <v>25.6</v>
      </c>
      <c r="E327" s="14">
        <v>0.123</v>
      </c>
      <c r="F327" s="14">
        <v>24</v>
      </c>
      <c r="G327" s="14">
        <v>0</v>
      </c>
      <c r="H327" s="14">
        <v>157</v>
      </c>
      <c r="I327" s="14"/>
    </row>
    <row r="328" spans="1:9" x14ac:dyDescent="0.3">
      <c r="A328" s="14">
        <v>1</v>
      </c>
      <c r="B328" s="14">
        <v>122</v>
      </c>
      <c r="C328" s="14">
        <v>64</v>
      </c>
      <c r="D328" s="14">
        <v>35.1</v>
      </c>
      <c r="E328" s="14">
        <v>0.69199999999999995</v>
      </c>
      <c r="F328" s="14">
        <v>30</v>
      </c>
      <c r="G328" s="14">
        <v>1</v>
      </c>
      <c r="H328" s="14" t="s">
        <v>36</v>
      </c>
      <c r="I328" s="14">
        <v>122</v>
      </c>
    </row>
    <row r="329" spans="1:9" x14ac:dyDescent="0.3">
      <c r="A329" s="14">
        <v>10</v>
      </c>
      <c r="B329" s="14">
        <v>179</v>
      </c>
      <c r="C329" s="14">
        <v>70</v>
      </c>
      <c r="D329" s="14">
        <v>35.1</v>
      </c>
      <c r="E329" s="14">
        <v>0.2</v>
      </c>
      <c r="F329" s="14">
        <v>37</v>
      </c>
      <c r="G329" s="14">
        <v>0</v>
      </c>
      <c r="H329" s="14">
        <v>179</v>
      </c>
      <c r="I329" s="14"/>
    </row>
    <row r="330" spans="1:9" x14ac:dyDescent="0.3">
      <c r="A330" s="14">
        <v>2</v>
      </c>
      <c r="B330" s="14">
        <v>102</v>
      </c>
      <c r="C330" s="14">
        <v>86</v>
      </c>
      <c r="D330" s="14">
        <v>45.5</v>
      </c>
      <c r="E330" s="14">
        <v>0.127</v>
      </c>
      <c r="F330" s="14">
        <v>23</v>
      </c>
      <c r="G330" s="14">
        <v>1</v>
      </c>
      <c r="H330" s="14" t="s">
        <v>36</v>
      </c>
      <c r="I330" s="14">
        <v>102</v>
      </c>
    </row>
    <row r="331" spans="1:9" x14ac:dyDescent="0.3">
      <c r="A331" s="14">
        <v>6</v>
      </c>
      <c r="B331" s="14">
        <v>105</v>
      </c>
      <c r="C331" s="14">
        <v>70</v>
      </c>
      <c r="D331" s="14">
        <v>30.8</v>
      </c>
      <c r="E331" s="14">
        <v>0.122</v>
      </c>
      <c r="F331" s="14">
        <v>37</v>
      </c>
      <c r="G331" s="14">
        <v>0</v>
      </c>
      <c r="H331" s="14">
        <v>105</v>
      </c>
      <c r="I331" s="14"/>
    </row>
    <row r="332" spans="1:9" x14ac:dyDescent="0.3">
      <c r="A332" s="14">
        <v>8</v>
      </c>
      <c r="B332" s="14">
        <v>118</v>
      </c>
      <c r="C332" s="14">
        <v>72</v>
      </c>
      <c r="D332" s="14">
        <v>23.1</v>
      </c>
      <c r="E332" s="14">
        <v>1.476</v>
      </c>
      <c r="F332" s="14">
        <v>46</v>
      </c>
      <c r="G332" s="14">
        <v>0</v>
      </c>
      <c r="H332" s="14">
        <v>118</v>
      </c>
      <c r="I332" s="14"/>
    </row>
    <row r="333" spans="1:9" x14ac:dyDescent="0.3">
      <c r="A333" s="14">
        <v>2</v>
      </c>
      <c r="B333" s="14">
        <v>87</v>
      </c>
      <c r="C333" s="14">
        <v>58</v>
      </c>
      <c r="D333" s="14">
        <v>32.700000000000003</v>
      </c>
      <c r="E333" s="14">
        <v>0.16600000000000001</v>
      </c>
      <c r="F333" s="14">
        <v>25</v>
      </c>
      <c r="G333" s="14">
        <v>0</v>
      </c>
      <c r="H333" s="14">
        <v>87</v>
      </c>
      <c r="I333" s="14"/>
    </row>
    <row r="334" spans="1:9" x14ac:dyDescent="0.3">
      <c r="A334" s="14">
        <v>1</v>
      </c>
      <c r="B334" s="14">
        <v>180</v>
      </c>
      <c r="C334" s="14">
        <v>72</v>
      </c>
      <c r="D334" s="14">
        <v>43.3</v>
      </c>
      <c r="E334" s="14">
        <v>0.28199999999999997</v>
      </c>
      <c r="F334" s="14">
        <v>41</v>
      </c>
      <c r="G334" s="14">
        <v>1</v>
      </c>
      <c r="H334" s="14" t="s">
        <v>36</v>
      </c>
      <c r="I334" s="14">
        <v>180</v>
      </c>
    </row>
    <row r="335" spans="1:9" x14ac:dyDescent="0.3">
      <c r="A335" s="14">
        <v>12</v>
      </c>
      <c r="B335" s="14">
        <v>106</v>
      </c>
      <c r="C335" s="14">
        <v>80</v>
      </c>
      <c r="D335" s="14">
        <v>23.6</v>
      </c>
      <c r="E335" s="14">
        <v>0.13700000000000001</v>
      </c>
      <c r="F335" s="14">
        <v>44</v>
      </c>
      <c r="G335" s="14">
        <v>0</v>
      </c>
      <c r="H335" s="14">
        <v>106</v>
      </c>
      <c r="I335" s="14"/>
    </row>
    <row r="336" spans="1:9" x14ac:dyDescent="0.3">
      <c r="A336" s="14">
        <v>1</v>
      </c>
      <c r="B336" s="14">
        <v>95</v>
      </c>
      <c r="C336" s="14">
        <v>60</v>
      </c>
      <c r="D336" s="14">
        <v>23.9</v>
      </c>
      <c r="E336" s="14">
        <v>0.26</v>
      </c>
      <c r="F336" s="14">
        <v>22</v>
      </c>
      <c r="G336" s="14">
        <v>0</v>
      </c>
      <c r="H336" s="14">
        <v>95</v>
      </c>
      <c r="I336" s="14"/>
    </row>
    <row r="337" spans="1:9" x14ac:dyDescent="0.3">
      <c r="A337" s="14">
        <v>0</v>
      </c>
      <c r="B337" s="14">
        <v>165</v>
      </c>
      <c r="C337" s="14">
        <v>76</v>
      </c>
      <c r="D337" s="14">
        <v>47.9</v>
      </c>
      <c r="E337" s="14">
        <v>0.25900000000000001</v>
      </c>
      <c r="F337" s="14">
        <v>26</v>
      </c>
      <c r="G337" s="14">
        <v>0</v>
      </c>
      <c r="H337" s="14">
        <v>165</v>
      </c>
      <c r="I337" s="14"/>
    </row>
    <row r="338" spans="1:9" x14ac:dyDescent="0.3">
      <c r="A338" s="14">
        <v>0</v>
      </c>
      <c r="B338" s="14">
        <v>117</v>
      </c>
      <c r="C338" s="14">
        <v>72</v>
      </c>
      <c r="D338" s="14">
        <v>33.799999999999997</v>
      </c>
      <c r="E338" s="14">
        <v>0.93200000000000005</v>
      </c>
      <c r="F338" s="14">
        <v>44</v>
      </c>
      <c r="G338" s="14">
        <v>0</v>
      </c>
      <c r="H338" s="14">
        <v>117</v>
      </c>
      <c r="I338" s="14"/>
    </row>
    <row r="339" spans="1:9" x14ac:dyDescent="0.3">
      <c r="A339" s="14">
        <v>5</v>
      </c>
      <c r="B339" s="14">
        <v>115</v>
      </c>
      <c r="C339" s="14">
        <v>76</v>
      </c>
      <c r="D339" s="14">
        <v>31.2</v>
      </c>
      <c r="E339" s="14">
        <v>0.34300000000000003</v>
      </c>
      <c r="F339" s="14">
        <v>44</v>
      </c>
      <c r="G339" s="14">
        <v>1</v>
      </c>
      <c r="H339" s="14" t="s">
        <v>36</v>
      </c>
      <c r="I339" s="14">
        <v>115</v>
      </c>
    </row>
    <row r="340" spans="1:9" x14ac:dyDescent="0.3">
      <c r="A340" s="14">
        <v>9</v>
      </c>
      <c r="B340" s="14">
        <v>152</v>
      </c>
      <c r="C340" s="14">
        <v>78</v>
      </c>
      <c r="D340" s="14">
        <v>34.200000000000003</v>
      </c>
      <c r="E340" s="14">
        <v>0.89300000000000002</v>
      </c>
      <c r="F340" s="14">
        <v>33</v>
      </c>
      <c r="G340" s="14">
        <v>1</v>
      </c>
      <c r="H340" s="14" t="s">
        <v>36</v>
      </c>
      <c r="I340" s="14">
        <v>152</v>
      </c>
    </row>
    <row r="341" spans="1:9" x14ac:dyDescent="0.3">
      <c r="A341" s="14">
        <v>7</v>
      </c>
      <c r="B341" s="14">
        <v>178</v>
      </c>
      <c r="C341" s="14">
        <v>84</v>
      </c>
      <c r="D341" s="14">
        <v>39.9</v>
      </c>
      <c r="E341" s="14">
        <v>0.33100000000000002</v>
      </c>
      <c r="F341" s="14">
        <v>41</v>
      </c>
      <c r="G341" s="14">
        <v>1</v>
      </c>
      <c r="H341" s="14" t="s">
        <v>36</v>
      </c>
      <c r="I341" s="14">
        <v>178</v>
      </c>
    </row>
    <row r="342" spans="1:9" x14ac:dyDescent="0.3">
      <c r="A342" s="14">
        <v>1</v>
      </c>
      <c r="B342" s="14">
        <v>130</v>
      </c>
      <c r="C342" s="14">
        <v>70</v>
      </c>
      <c r="D342" s="14">
        <v>25.9</v>
      </c>
      <c r="E342" s="14">
        <v>0.47199999999999998</v>
      </c>
      <c r="F342" s="14">
        <v>22</v>
      </c>
      <c r="G342" s="14">
        <v>0</v>
      </c>
      <c r="H342" s="14">
        <v>130</v>
      </c>
      <c r="I342" s="14"/>
    </row>
    <row r="343" spans="1:9" x14ac:dyDescent="0.3">
      <c r="A343" s="14">
        <v>1</v>
      </c>
      <c r="B343" s="14">
        <v>95</v>
      </c>
      <c r="C343" s="14">
        <v>74</v>
      </c>
      <c r="D343" s="14">
        <v>25.9</v>
      </c>
      <c r="E343" s="14">
        <v>0.67300000000000004</v>
      </c>
      <c r="F343" s="14">
        <v>36</v>
      </c>
      <c r="G343" s="14">
        <v>0</v>
      </c>
      <c r="H343" s="14">
        <v>95</v>
      </c>
      <c r="I343" s="14"/>
    </row>
    <row r="344" spans="1:9" x14ac:dyDescent="0.3">
      <c r="A344" s="14">
        <v>1</v>
      </c>
      <c r="B344" s="14">
        <v>117</v>
      </c>
      <c r="C344" s="14">
        <v>68</v>
      </c>
      <c r="D344" s="14">
        <v>32</v>
      </c>
      <c r="E344" s="14">
        <v>0.38900000000000001</v>
      </c>
      <c r="F344" s="14">
        <v>22</v>
      </c>
      <c r="G344" s="14">
        <v>0</v>
      </c>
      <c r="H344" s="14">
        <v>117</v>
      </c>
      <c r="I344" s="14"/>
    </row>
    <row r="345" spans="1:9" x14ac:dyDescent="0.3">
      <c r="A345" s="14">
        <v>5</v>
      </c>
      <c r="B345" s="14">
        <v>122</v>
      </c>
      <c r="C345" s="14">
        <v>86</v>
      </c>
      <c r="D345" s="14">
        <v>34.700000000000003</v>
      </c>
      <c r="E345" s="14">
        <v>0.28999999999999998</v>
      </c>
      <c r="F345" s="14">
        <v>33</v>
      </c>
      <c r="G345" s="14">
        <v>0</v>
      </c>
      <c r="H345" s="14">
        <v>122</v>
      </c>
      <c r="I345" s="14"/>
    </row>
    <row r="346" spans="1:9" x14ac:dyDescent="0.3">
      <c r="A346" s="14">
        <v>8</v>
      </c>
      <c r="B346" s="14">
        <v>95</v>
      </c>
      <c r="C346" s="14">
        <v>72</v>
      </c>
      <c r="D346" s="14">
        <v>36.799999999999997</v>
      </c>
      <c r="E346" s="14">
        <v>0.48499999999999999</v>
      </c>
      <c r="F346" s="14">
        <v>57</v>
      </c>
      <c r="G346" s="14">
        <v>0</v>
      </c>
      <c r="H346" s="14">
        <v>95</v>
      </c>
      <c r="I346" s="14"/>
    </row>
    <row r="347" spans="1:9" x14ac:dyDescent="0.3">
      <c r="A347" s="14">
        <v>8</v>
      </c>
      <c r="B347" s="14">
        <v>126</v>
      </c>
      <c r="C347" s="14">
        <v>88</v>
      </c>
      <c r="D347" s="14">
        <v>38.5</v>
      </c>
      <c r="E347" s="14">
        <v>0.34899999999999998</v>
      </c>
      <c r="F347" s="14">
        <v>49</v>
      </c>
      <c r="G347" s="14">
        <v>0</v>
      </c>
      <c r="H347" s="14">
        <v>126</v>
      </c>
      <c r="I347" s="14"/>
    </row>
    <row r="348" spans="1:9" x14ac:dyDescent="0.3">
      <c r="A348" s="14">
        <v>1</v>
      </c>
      <c r="B348" s="14">
        <v>139</v>
      </c>
      <c r="C348" s="14">
        <v>46</v>
      </c>
      <c r="D348" s="14">
        <v>28.7</v>
      </c>
      <c r="E348" s="14">
        <v>0.65400000000000003</v>
      </c>
      <c r="F348" s="14">
        <v>22</v>
      </c>
      <c r="G348" s="14">
        <v>0</v>
      </c>
      <c r="H348" s="14">
        <v>139</v>
      </c>
      <c r="I348" s="14"/>
    </row>
    <row r="349" spans="1:9" x14ac:dyDescent="0.3">
      <c r="A349" s="14">
        <v>3</v>
      </c>
      <c r="B349" s="14">
        <v>116</v>
      </c>
      <c r="C349" s="14">
        <v>72</v>
      </c>
      <c r="D349" s="14">
        <v>23.5</v>
      </c>
      <c r="E349" s="14">
        <v>0.187</v>
      </c>
      <c r="F349" s="14">
        <v>23</v>
      </c>
      <c r="G349" s="14">
        <v>0</v>
      </c>
      <c r="H349" s="14">
        <v>116</v>
      </c>
      <c r="I349" s="14"/>
    </row>
    <row r="350" spans="1:9" x14ac:dyDescent="0.3">
      <c r="A350" s="14">
        <v>3</v>
      </c>
      <c r="B350" s="14">
        <v>99</v>
      </c>
      <c r="C350" s="14">
        <v>62</v>
      </c>
      <c r="D350" s="14">
        <v>21.8</v>
      </c>
      <c r="E350" s="14">
        <v>0.27900000000000003</v>
      </c>
      <c r="F350" s="14">
        <v>26</v>
      </c>
      <c r="G350" s="14">
        <v>0</v>
      </c>
      <c r="H350" s="14">
        <v>99</v>
      </c>
      <c r="I350" s="14"/>
    </row>
    <row r="351" spans="1:9" x14ac:dyDescent="0.3">
      <c r="A351" s="14">
        <v>5</v>
      </c>
      <c r="B351" s="14">
        <v>117</v>
      </c>
      <c r="C351" s="14">
        <v>80</v>
      </c>
      <c r="D351" s="14">
        <v>41</v>
      </c>
      <c r="E351" s="14">
        <v>0.34599999999999997</v>
      </c>
      <c r="F351" s="14">
        <v>37</v>
      </c>
      <c r="G351" s="14">
        <v>1</v>
      </c>
      <c r="H351" s="14" t="s">
        <v>36</v>
      </c>
      <c r="I351" s="14">
        <v>117</v>
      </c>
    </row>
    <row r="352" spans="1:9" x14ac:dyDescent="0.3">
      <c r="A352" s="14">
        <v>4</v>
      </c>
      <c r="B352" s="14">
        <v>92</v>
      </c>
      <c r="C352" s="14">
        <v>80</v>
      </c>
      <c r="D352" s="14">
        <v>42.2</v>
      </c>
      <c r="E352" s="14">
        <v>0.23699999999999999</v>
      </c>
      <c r="F352" s="14">
        <v>29</v>
      </c>
      <c r="G352" s="14">
        <v>0</v>
      </c>
      <c r="H352" s="14">
        <v>92</v>
      </c>
      <c r="I352" s="14"/>
    </row>
    <row r="353" spans="1:9" x14ac:dyDescent="0.3">
      <c r="A353" s="14">
        <v>4</v>
      </c>
      <c r="B353" s="14">
        <v>137</v>
      </c>
      <c r="C353" s="14">
        <v>84</v>
      </c>
      <c r="D353" s="14">
        <v>31.2</v>
      </c>
      <c r="E353" s="14">
        <v>0.252</v>
      </c>
      <c r="F353" s="14">
        <v>30</v>
      </c>
      <c r="G353" s="14">
        <v>0</v>
      </c>
      <c r="H353" s="14">
        <v>137</v>
      </c>
      <c r="I353" s="14"/>
    </row>
    <row r="354" spans="1:9" x14ac:dyDescent="0.3">
      <c r="A354" s="14">
        <v>3</v>
      </c>
      <c r="B354" s="14">
        <v>61</v>
      </c>
      <c r="C354" s="14">
        <v>82</v>
      </c>
      <c r="D354" s="14">
        <v>34.4</v>
      </c>
      <c r="E354" s="14">
        <v>0.24299999999999999</v>
      </c>
      <c r="F354" s="14">
        <v>46</v>
      </c>
      <c r="G354" s="14">
        <v>0</v>
      </c>
      <c r="H354" s="14">
        <v>61</v>
      </c>
      <c r="I354" s="14"/>
    </row>
    <row r="355" spans="1:9" x14ac:dyDescent="0.3">
      <c r="A355" s="14">
        <v>1</v>
      </c>
      <c r="B355" s="14">
        <v>90</v>
      </c>
      <c r="C355" s="14">
        <v>62</v>
      </c>
      <c r="D355" s="14">
        <v>27.2</v>
      </c>
      <c r="E355" s="14">
        <v>0.57999999999999996</v>
      </c>
      <c r="F355" s="14">
        <v>24</v>
      </c>
      <c r="G355" s="14">
        <v>0</v>
      </c>
      <c r="H355" s="14">
        <v>90</v>
      </c>
      <c r="I355" s="14"/>
    </row>
    <row r="356" spans="1:9" x14ac:dyDescent="0.3">
      <c r="A356" s="14">
        <v>3</v>
      </c>
      <c r="B356" s="14">
        <v>90</v>
      </c>
      <c r="C356" s="14">
        <v>78</v>
      </c>
      <c r="D356" s="14">
        <v>42.7</v>
      </c>
      <c r="E356" s="14">
        <v>0.55900000000000005</v>
      </c>
      <c r="F356" s="14">
        <v>21</v>
      </c>
      <c r="G356" s="14">
        <v>0</v>
      </c>
      <c r="H356" s="14">
        <v>90</v>
      </c>
      <c r="I356" s="14"/>
    </row>
    <row r="357" spans="1:9" x14ac:dyDescent="0.3">
      <c r="A357" s="14">
        <v>9</v>
      </c>
      <c r="B357" s="14">
        <v>165</v>
      </c>
      <c r="C357" s="14">
        <v>88</v>
      </c>
      <c r="D357" s="14">
        <v>30.4</v>
      </c>
      <c r="E357" s="14">
        <v>0.30199999999999999</v>
      </c>
      <c r="F357" s="14">
        <v>49</v>
      </c>
      <c r="G357" s="14">
        <v>1</v>
      </c>
      <c r="H357" s="14" t="s">
        <v>36</v>
      </c>
      <c r="I357" s="14">
        <v>165</v>
      </c>
    </row>
    <row r="358" spans="1:9" x14ac:dyDescent="0.3">
      <c r="A358" s="14">
        <v>1</v>
      </c>
      <c r="B358" s="14">
        <v>125</v>
      </c>
      <c r="C358" s="14">
        <v>50</v>
      </c>
      <c r="D358" s="14">
        <v>33.299999999999997</v>
      </c>
      <c r="E358" s="14">
        <v>0.96199999999999997</v>
      </c>
      <c r="F358" s="14">
        <v>28</v>
      </c>
      <c r="G358" s="14">
        <v>1</v>
      </c>
      <c r="H358" s="14" t="s">
        <v>36</v>
      </c>
      <c r="I358" s="14">
        <v>125</v>
      </c>
    </row>
    <row r="359" spans="1:9" x14ac:dyDescent="0.3">
      <c r="A359" s="14">
        <v>13</v>
      </c>
      <c r="B359" s="14">
        <v>129</v>
      </c>
      <c r="C359" s="14">
        <v>72</v>
      </c>
      <c r="D359" s="14">
        <v>39.9</v>
      </c>
      <c r="E359" s="14">
        <v>0.56899999999999995</v>
      </c>
      <c r="F359" s="14">
        <v>44</v>
      </c>
      <c r="G359" s="14">
        <v>1</v>
      </c>
      <c r="H359" s="14" t="s">
        <v>36</v>
      </c>
      <c r="I359" s="14">
        <v>129</v>
      </c>
    </row>
    <row r="360" spans="1:9" x14ac:dyDescent="0.3">
      <c r="A360" s="14">
        <v>12</v>
      </c>
      <c r="B360" s="14">
        <v>88</v>
      </c>
      <c r="C360" s="14">
        <v>74</v>
      </c>
      <c r="D360" s="14">
        <v>35.299999999999997</v>
      </c>
      <c r="E360" s="14">
        <v>0.378</v>
      </c>
      <c r="F360" s="14">
        <v>48</v>
      </c>
      <c r="G360" s="14">
        <v>0</v>
      </c>
      <c r="H360" s="14">
        <v>88</v>
      </c>
      <c r="I360" s="14"/>
    </row>
    <row r="361" spans="1:9" x14ac:dyDescent="0.3">
      <c r="A361" s="14">
        <v>1</v>
      </c>
      <c r="B361" s="14">
        <v>196</v>
      </c>
      <c r="C361" s="14">
        <v>76</v>
      </c>
      <c r="D361" s="14">
        <v>36.5</v>
      </c>
      <c r="E361" s="14">
        <v>0.875</v>
      </c>
      <c r="F361" s="14">
        <v>29</v>
      </c>
      <c r="G361" s="14">
        <v>1</v>
      </c>
      <c r="H361" s="14" t="s">
        <v>36</v>
      </c>
      <c r="I361" s="14">
        <v>196</v>
      </c>
    </row>
    <row r="362" spans="1:9" x14ac:dyDescent="0.3">
      <c r="A362" s="14">
        <v>5</v>
      </c>
      <c r="B362" s="14">
        <v>189</v>
      </c>
      <c r="C362" s="14">
        <v>64</v>
      </c>
      <c r="D362" s="14">
        <v>31.2</v>
      </c>
      <c r="E362" s="14">
        <v>0.58299999999999996</v>
      </c>
      <c r="F362" s="14">
        <v>29</v>
      </c>
      <c r="G362" s="14">
        <v>1</v>
      </c>
      <c r="H362" s="14" t="s">
        <v>36</v>
      </c>
      <c r="I362" s="14">
        <v>189</v>
      </c>
    </row>
    <row r="363" spans="1:9" x14ac:dyDescent="0.3">
      <c r="A363" s="14">
        <v>5</v>
      </c>
      <c r="B363" s="14">
        <v>158</v>
      </c>
      <c r="C363" s="14">
        <v>70</v>
      </c>
      <c r="D363" s="14">
        <v>29.8</v>
      </c>
      <c r="E363" s="14">
        <v>0.20699999999999999</v>
      </c>
      <c r="F363" s="14">
        <v>63</v>
      </c>
      <c r="G363" s="14">
        <v>0</v>
      </c>
      <c r="H363" s="14">
        <v>158</v>
      </c>
      <c r="I363" s="14"/>
    </row>
    <row r="364" spans="1:9" x14ac:dyDescent="0.3">
      <c r="A364" s="14">
        <v>5</v>
      </c>
      <c r="B364" s="14">
        <v>103</v>
      </c>
      <c r="C364" s="14">
        <v>108</v>
      </c>
      <c r="D364" s="14">
        <v>39.200000000000003</v>
      </c>
      <c r="E364" s="14">
        <v>0.30499999999999999</v>
      </c>
      <c r="F364" s="14">
        <v>65</v>
      </c>
      <c r="G364" s="14">
        <v>0</v>
      </c>
      <c r="H364" s="14">
        <v>103</v>
      </c>
      <c r="I364" s="14"/>
    </row>
    <row r="365" spans="1:9" x14ac:dyDescent="0.3">
      <c r="A365" s="14">
        <v>4</v>
      </c>
      <c r="B365" s="14">
        <v>146</v>
      </c>
      <c r="C365" s="14">
        <v>78</v>
      </c>
      <c r="D365" s="14">
        <v>38.5</v>
      </c>
      <c r="E365" s="14">
        <v>0.52</v>
      </c>
      <c r="F365" s="14">
        <v>67</v>
      </c>
      <c r="G365" s="14">
        <v>1</v>
      </c>
      <c r="H365" s="14" t="s">
        <v>36</v>
      </c>
      <c r="I365" s="14">
        <v>146</v>
      </c>
    </row>
    <row r="366" spans="1:9" x14ac:dyDescent="0.3">
      <c r="A366" s="14">
        <v>4</v>
      </c>
      <c r="B366" s="14">
        <v>147</v>
      </c>
      <c r="C366" s="14">
        <v>74</v>
      </c>
      <c r="D366" s="14">
        <v>34.9</v>
      </c>
      <c r="E366" s="14">
        <v>0.38500000000000001</v>
      </c>
      <c r="F366" s="14">
        <v>30</v>
      </c>
      <c r="G366" s="14">
        <v>0</v>
      </c>
      <c r="H366" s="14">
        <v>147</v>
      </c>
      <c r="I366" s="14"/>
    </row>
    <row r="367" spans="1:9" x14ac:dyDescent="0.3">
      <c r="A367" s="14">
        <v>5</v>
      </c>
      <c r="B367" s="14">
        <v>99</v>
      </c>
      <c r="C367" s="14">
        <v>54</v>
      </c>
      <c r="D367" s="14">
        <v>34</v>
      </c>
      <c r="E367" s="14">
        <v>0.499</v>
      </c>
      <c r="F367" s="14">
        <v>30</v>
      </c>
      <c r="G367" s="14">
        <v>0</v>
      </c>
      <c r="H367" s="14">
        <v>99</v>
      </c>
      <c r="I367" s="14"/>
    </row>
    <row r="368" spans="1:9" x14ac:dyDescent="0.3">
      <c r="A368" s="14">
        <v>6</v>
      </c>
      <c r="B368" s="14">
        <v>124</v>
      </c>
      <c r="C368" s="14">
        <v>72</v>
      </c>
      <c r="D368" s="14">
        <v>27.6</v>
      </c>
      <c r="E368" s="14">
        <v>0.36799999999999999</v>
      </c>
      <c r="F368" s="14">
        <v>29</v>
      </c>
      <c r="G368" s="14">
        <v>1</v>
      </c>
      <c r="H368" s="14" t="s">
        <v>36</v>
      </c>
      <c r="I368" s="14">
        <v>124</v>
      </c>
    </row>
    <row r="369" spans="1:9" x14ac:dyDescent="0.3">
      <c r="A369" s="14">
        <v>0</v>
      </c>
      <c r="B369" s="14">
        <v>101</v>
      </c>
      <c r="C369" s="14">
        <v>64</v>
      </c>
      <c r="D369" s="14">
        <v>21</v>
      </c>
      <c r="E369" s="14">
        <v>0.252</v>
      </c>
      <c r="F369" s="14">
        <v>21</v>
      </c>
      <c r="G369" s="14">
        <v>0</v>
      </c>
      <c r="H369" s="14">
        <v>101</v>
      </c>
      <c r="I369" s="14"/>
    </row>
    <row r="370" spans="1:9" x14ac:dyDescent="0.3">
      <c r="A370" s="14">
        <v>3</v>
      </c>
      <c r="B370" s="14">
        <v>81</v>
      </c>
      <c r="C370" s="14">
        <v>86</v>
      </c>
      <c r="D370" s="14">
        <v>27.5</v>
      </c>
      <c r="E370" s="14">
        <v>0.30599999999999999</v>
      </c>
      <c r="F370" s="14">
        <v>22</v>
      </c>
      <c r="G370" s="14">
        <v>0</v>
      </c>
      <c r="H370" s="14">
        <v>81</v>
      </c>
      <c r="I370" s="14"/>
    </row>
    <row r="371" spans="1:9" x14ac:dyDescent="0.3">
      <c r="A371" s="14">
        <v>1</v>
      </c>
      <c r="B371" s="14">
        <v>133</v>
      </c>
      <c r="C371" s="14">
        <v>102</v>
      </c>
      <c r="D371" s="14">
        <v>32.799999999999997</v>
      </c>
      <c r="E371" s="14">
        <v>0.23400000000000001</v>
      </c>
      <c r="F371" s="14">
        <v>45</v>
      </c>
      <c r="G371" s="14">
        <v>1</v>
      </c>
      <c r="H371" s="14" t="s">
        <v>36</v>
      </c>
      <c r="I371" s="14">
        <v>133</v>
      </c>
    </row>
    <row r="372" spans="1:9" x14ac:dyDescent="0.3">
      <c r="A372" s="14">
        <v>3</v>
      </c>
      <c r="B372" s="14">
        <v>173</v>
      </c>
      <c r="C372" s="14">
        <v>82</v>
      </c>
      <c r="D372" s="14">
        <v>38.4</v>
      </c>
      <c r="E372" s="14">
        <v>2.137</v>
      </c>
      <c r="F372" s="14">
        <v>25</v>
      </c>
      <c r="G372" s="14">
        <v>1</v>
      </c>
      <c r="H372" s="14" t="s">
        <v>36</v>
      </c>
      <c r="I372" s="14">
        <v>173</v>
      </c>
    </row>
    <row r="373" spans="1:9" x14ac:dyDescent="0.3">
      <c r="A373" s="14">
        <v>0</v>
      </c>
      <c r="B373" s="14">
        <v>118</v>
      </c>
      <c r="C373" s="14">
        <v>64</v>
      </c>
      <c r="D373" s="14">
        <v>32</v>
      </c>
      <c r="E373" s="14">
        <v>1.7310000000000001</v>
      </c>
      <c r="F373" s="14">
        <v>21</v>
      </c>
      <c r="G373" s="14">
        <v>0</v>
      </c>
      <c r="H373" s="14">
        <v>118</v>
      </c>
      <c r="I373" s="14"/>
    </row>
    <row r="374" spans="1:9" x14ac:dyDescent="0.3">
      <c r="A374" s="14">
        <v>0</v>
      </c>
      <c r="B374" s="14">
        <v>84</v>
      </c>
      <c r="C374" s="14">
        <v>64</v>
      </c>
      <c r="D374" s="14">
        <v>35.799999999999997</v>
      </c>
      <c r="E374" s="14">
        <v>0.54500000000000004</v>
      </c>
      <c r="F374" s="14">
        <v>21</v>
      </c>
      <c r="G374" s="14">
        <v>0</v>
      </c>
      <c r="H374" s="14">
        <v>84</v>
      </c>
      <c r="I374" s="14"/>
    </row>
    <row r="375" spans="1:9" x14ac:dyDescent="0.3">
      <c r="A375" s="14">
        <v>2</v>
      </c>
      <c r="B375" s="14">
        <v>105</v>
      </c>
      <c r="C375" s="14">
        <v>58</v>
      </c>
      <c r="D375" s="14">
        <v>34.9</v>
      </c>
      <c r="E375" s="14">
        <v>0.22500000000000001</v>
      </c>
      <c r="F375" s="14">
        <v>25</v>
      </c>
      <c r="G375" s="14">
        <v>0</v>
      </c>
      <c r="H375" s="14">
        <v>105</v>
      </c>
      <c r="I375" s="14"/>
    </row>
    <row r="376" spans="1:9" x14ac:dyDescent="0.3">
      <c r="A376" s="14">
        <v>2</v>
      </c>
      <c r="B376" s="14">
        <v>122</v>
      </c>
      <c r="C376" s="14">
        <v>52</v>
      </c>
      <c r="D376" s="14">
        <v>36.200000000000003</v>
      </c>
      <c r="E376" s="14">
        <v>0.81599999999999995</v>
      </c>
      <c r="F376" s="14">
        <v>28</v>
      </c>
      <c r="G376" s="14">
        <v>0</v>
      </c>
      <c r="H376" s="14">
        <v>122</v>
      </c>
      <c r="I376" s="14"/>
    </row>
    <row r="377" spans="1:9" x14ac:dyDescent="0.3">
      <c r="A377" s="14">
        <v>12</v>
      </c>
      <c r="B377" s="14">
        <v>140</v>
      </c>
      <c r="C377" s="14">
        <v>82</v>
      </c>
      <c r="D377" s="14">
        <v>39.200000000000003</v>
      </c>
      <c r="E377" s="14">
        <v>0.52800000000000002</v>
      </c>
      <c r="F377" s="14">
        <v>58</v>
      </c>
      <c r="G377" s="14">
        <v>1</v>
      </c>
      <c r="H377" s="14" t="s">
        <v>36</v>
      </c>
      <c r="I377" s="14">
        <v>140</v>
      </c>
    </row>
    <row r="378" spans="1:9" x14ac:dyDescent="0.3">
      <c r="A378" s="14">
        <v>0</v>
      </c>
      <c r="B378" s="14">
        <v>98</v>
      </c>
      <c r="C378" s="14">
        <v>82</v>
      </c>
      <c r="D378" s="14">
        <v>25.2</v>
      </c>
      <c r="E378" s="14">
        <v>0.29899999999999999</v>
      </c>
      <c r="F378" s="14">
        <v>22</v>
      </c>
      <c r="G378" s="14">
        <v>0</v>
      </c>
      <c r="H378" s="14">
        <v>98</v>
      </c>
      <c r="I378" s="14"/>
    </row>
    <row r="379" spans="1:9" x14ac:dyDescent="0.3">
      <c r="A379" s="14">
        <v>1</v>
      </c>
      <c r="B379" s="14">
        <v>87</v>
      </c>
      <c r="C379" s="14">
        <v>60</v>
      </c>
      <c r="D379" s="14">
        <v>37.200000000000003</v>
      </c>
      <c r="E379" s="14">
        <v>0.50900000000000001</v>
      </c>
      <c r="F379" s="14">
        <v>22</v>
      </c>
      <c r="G379" s="14">
        <v>0</v>
      </c>
      <c r="H379" s="14">
        <v>87</v>
      </c>
      <c r="I379" s="14"/>
    </row>
    <row r="380" spans="1:9" x14ac:dyDescent="0.3">
      <c r="A380" s="14">
        <v>4</v>
      </c>
      <c r="B380" s="14">
        <v>156</v>
      </c>
      <c r="C380" s="14">
        <v>75</v>
      </c>
      <c r="D380" s="14">
        <v>48.3</v>
      </c>
      <c r="E380" s="14">
        <v>0.23799999999999999</v>
      </c>
      <c r="F380" s="14">
        <v>32</v>
      </c>
      <c r="G380" s="14">
        <v>1</v>
      </c>
      <c r="H380" s="14" t="s">
        <v>36</v>
      </c>
      <c r="I380" s="14">
        <v>156</v>
      </c>
    </row>
    <row r="381" spans="1:9" x14ac:dyDescent="0.3">
      <c r="A381" s="14">
        <v>0</v>
      </c>
      <c r="B381" s="14">
        <v>93</v>
      </c>
      <c r="C381" s="14">
        <v>100</v>
      </c>
      <c r="D381" s="14">
        <v>43.4</v>
      </c>
      <c r="E381" s="14">
        <v>1.0209999999999999</v>
      </c>
      <c r="F381" s="14">
        <v>35</v>
      </c>
      <c r="G381" s="14">
        <v>0</v>
      </c>
      <c r="H381" s="14">
        <v>93</v>
      </c>
      <c r="I381" s="14"/>
    </row>
    <row r="382" spans="1:9" x14ac:dyDescent="0.3">
      <c r="A382" s="14">
        <v>1</v>
      </c>
      <c r="B382" s="14">
        <v>107</v>
      </c>
      <c r="C382" s="14">
        <v>72</v>
      </c>
      <c r="D382" s="14">
        <v>30.8</v>
      </c>
      <c r="E382" s="14">
        <v>0.82099999999999995</v>
      </c>
      <c r="F382" s="14">
        <v>24</v>
      </c>
      <c r="G382" s="14">
        <v>0</v>
      </c>
      <c r="H382" s="14">
        <v>107</v>
      </c>
      <c r="I382" s="14"/>
    </row>
    <row r="383" spans="1:9" x14ac:dyDescent="0.3">
      <c r="A383" s="14">
        <v>0</v>
      </c>
      <c r="B383" s="14">
        <v>105</v>
      </c>
      <c r="C383" s="14">
        <v>68</v>
      </c>
      <c r="D383" s="14">
        <v>20</v>
      </c>
      <c r="E383" s="14">
        <v>0.23599999999999999</v>
      </c>
      <c r="F383" s="14">
        <v>22</v>
      </c>
      <c r="G383" s="14">
        <v>0</v>
      </c>
      <c r="H383" s="14">
        <v>105</v>
      </c>
      <c r="I383" s="14"/>
    </row>
    <row r="384" spans="1:9" x14ac:dyDescent="0.3">
      <c r="A384" s="14">
        <v>1</v>
      </c>
      <c r="B384" s="14">
        <v>109</v>
      </c>
      <c r="C384" s="14">
        <v>60</v>
      </c>
      <c r="D384" s="14">
        <v>25.4</v>
      </c>
      <c r="E384" s="14">
        <v>0.94699999999999995</v>
      </c>
      <c r="F384" s="14">
        <v>21</v>
      </c>
      <c r="G384" s="14">
        <v>0</v>
      </c>
      <c r="H384" s="14">
        <v>109</v>
      </c>
      <c r="I384" s="14"/>
    </row>
    <row r="385" spans="1:9" x14ac:dyDescent="0.3">
      <c r="A385" s="14">
        <v>1</v>
      </c>
      <c r="B385" s="14">
        <v>90</v>
      </c>
      <c r="C385" s="14">
        <v>62</v>
      </c>
      <c r="D385" s="14">
        <v>25.1</v>
      </c>
      <c r="E385" s="14">
        <v>1.268</v>
      </c>
      <c r="F385" s="14">
        <v>25</v>
      </c>
      <c r="G385" s="14">
        <v>0</v>
      </c>
      <c r="H385" s="14">
        <v>90</v>
      </c>
      <c r="I385" s="14"/>
    </row>
    <row r="386" spans="1:9" x14ac:dyDescent="0.3">
      <c r="A386" s="14">
        <v>1</v>
      </c>
      <c r="B386" s="14">
        <v>125</v>
      </c>
      <c r="C386" s="14">
        <v>70</v>
      </c>
      <c r="D386" s="14">
        <v>24.3</v>
      </c>
      <c r="E386" s="14">
        <v>0.221</v>
      </c>
      <c r="F386" s="14">
        <v>25</v>
      </c>
      <c r="G386" s="14">
        <v>0</v>
      </c>
      <c r="H386" s="14">
        <v>125</v>
      </c>
      <c r="I386" s="14"/>
    </row>
    <row r="387" spans="1:9" x14ac:dyDescent="0.3">
      <c r="A387" s="14">
        <v>1</v>
      </c>
      <c r="B387" s="14">
        <v>119</v>
      </c>
      <c r="C387" s="14">
        <v>54</v>
      </c>
      <c r="D387" s="14">
        <v>22.3</v>
      </c>
      <c r="E387" s="14">
        <v>0.20499999999999999</v>
      </c>
      <c r="F387" s="14">
        <v>24</v>
      </c>
      <c r="G387" s="14">
        <v>0</v>
      </c>
      <c r="H387" s="14">
        <v>119</v>
      </c>
      <c r="I387" s="14"/>
    </row>
    <row r="388" spans="1:9" x14ac:dyDescent="0.3">
      <c r="A388" s="14">
        <v>5</v>
      </c>
      <c r="B388" s="14">
        <v>116</v>
      </c>
      <c r="C388" s="14">
        <v>74</v>
      </c>
      <c r="D388" s="14">
        <v>32.299999999999997</v>
      </c>
      <c r="E388" s="14">
        <v>0.66</v>
      </c>
      <c r="F388" s="14">
        <v>35</v>
      </c>
      <c r="G388" s="14">
        <v>1</v>
      </c>
      <c r="H388" s="14" t="s">
        <v>36</v>
      </c>
      <c r="I388" s="14">
        <v>116</v>
      </c>
    </row>
    <row r="389" spans="1:9" x14ac:dyDescent="0.3">
      <c r="A389" s="14">
        <v>8</v>
      </c>
      <c r="B389" s="14">
        <v>105</v>
      </c>
      <c r="C389" s="14">
        <v>100</v>
      </c>
      <c r="D389" s="14">
        <v>43.3</v>
      </c>
      <c r="E389" s="14">
        <v>0.23899999999999999</v>
      </c>
      <c r="F389" s="14">
        <v>45</v>
      </c>
      <c r="G389" s="14">
        <v>1</v>
      </c>
      <c r="H389" s="14" t="s">
        <v>36</v>
      </c>
      <c r="I389" s="14">
        <v>105</v>
      </c>
    </row>
    <row r="390" spans="1:9" x14ac:dyDescent="0.3">
      <c r="A390" s="14">
        <v>5</v>
      </c>
      <c r="B390" s="14">
        <v>144</v>
      </c>
      <c r="C390" s="14">
        <v>82</v>
      </c>
      <c r="D390" s="14">
        <v>32</v>
      </c>
      <c r="E390" s="14">
        <v>0.45200000000000001</v>
      </c>
      <c r="F390" s="14">
        <v>58</v>
      </c>
      <c r="G390" s="14">
        <v>1</v>
      </c>
      <c r="H390" s="14" t="s">
        <v>36</v>
      </c>
      <c r="I390" s="14">
        <v>144</v>
      </c>
    </row>
    <row r="391" spans="1:9" x14ac:dyDescent="0.3">
      <c r="A391" s="14">
        <v>3</v>
      </c>
      <c r="B391" s="14">
        <v>100</v>
      </c>
      <c r="C391" s="14">
        <v>68</v>
      </c>
      <c r="D391" s="14">
        <v>31.6</v>
      </c>
      <c r="E391" s="14">
        <v>0.94899999999999995</v>
      </c>
      <c r="F391" s="14">
        <v>28</v>
      </c>
      <c r="G391" s="14">
        <v>0</v>
      </c>
      <c r="H391" s="14">
        <v>100</v>
      </c>
      <c r="I391" s="14"/>
    </row>
    <row r="392" spans="1:9" x14ac:dyDescent="0.3">
      <c r="A392" s="14">
        <v>1</v>
      </c>
      <c r="B392" s="14">
        <v>100</v>
      </c>
      <c r="C392" s="14">
        <v>66</v>
      </c>
      <c r="D392" s="14">
        <v>32</v>
      </c>
      <c r="E392" s="14">
        <v>0.44400000000000001</v>
      </c>
      <c r="F392" s="14">
        <v>42</v>
      </c>
      <c r="G392" s="14">
        <v>0</v>
      </c>
      <c r="H392" s="14">
        <v>100</v>
      </c>
      <c r="I392" s="14"/>
    </row>
    <row r="393" spans="1:9" x14ac:dyDescent="0.3">
      <c r="A393" s="14">
        <v>5</v>
      </c>
      <c r="B393" s="14">
        <v>166</v>
      </c>
      <c r="C393" s="14">
        <v>76</v>
      </c>
      <c r="D393" s="14">
        <v>45.7</v>
      </c>
      <c r="E393" s="14">
        <v>0.34</v>
      </c>
      <c r="F393" s="14">
        <v>27</v>
      </c>
      <c r="G393" s="14">
        <v>1</v>
      </c>
      <c r="H393" s="14" t="s">
        <v>36</v>
      </c>
      <c r="I393" s="14">
        <v>166</v>
      </c>
    </row>
    <row r="394" spans="1:9" x14ac:dyDescent="0.3">
      <c r="A394" s="14">
        <v>1</v>
      </c>
      <c r="B394" s="14">
        <v>131</v>
      </c>
      <c r="C394" s="14">
        <v>64</v>
      </c>
      <c r="D394" s="14">
        <v>23.7</v>
      </c>
      <c r="E394" s="14">
        <v>0.38900000000000001</v>
      </c>
      <c r="F394" s="14">
        <v>21</v>
      </c>
      <c r="G394" s="14">
        <v>0</v>
      </c>
      <c r="H394" s="14">
        <v>131</v>
      </c>
      <c r="I394" s="14"/>
    </row>
    <row r="395" spans="1:9" x14ac:dyDescent="0.3">
      <c r="A395" s="14">
        <v>4</v>
      </c>
      <c r="B395" s="14">
        <v>116</v>
      </c>
      <c r="C395" s="14">
        <v>72</v>
      </c>
      <c r="D395" s="14">
        <v>22.1</v>
      </c>
      <c r="E395" s="14">
        <v>0.46300000000000002</v>
      </c>
      <c r="F395" s="14">
        <v>37</v>
      </c>
      <c r="G395" s="14">
        <v>0</v>
      </c>
      <c r="H395" s="14">
        <v>116</v>
      </c>
      <c r="I395" s="14"/>
    </row>
    <row r="396" spans="1:9" x14ac:dyDescent="0.3">
      <c r="A396" s="14">
        <v>4</v>
      </c>
      <c r="B396" s="14">
        <v>158</v>
      </c>
      <c r="C396" s="14">
        <v>78</v>
      </c>
      <c r="D396" s="14">
        <v>32.9</v>
      </c>
      <c r="E396" s="14">
        <v>0.80300000000000005</v>
      </c>
      <c r="F396" s="14">
        <v>31</v>
      </c>
      <c r="G396" s="14">
        <v>1</v>
      </c>
      <c r="H396" s="14" t="s">
        <v>36</v>
      </c>
      <c r="I396" s="14">
        <v>158</v>
      </c>
    </row>
    <row r="397" spans="1:9" x14ac:dyDescent="0.3">
      <c r="A397" s="14">
        <v>2</v>
      </c>
      <c r="B397" s="14">
        <v>127</v>
      </c>
      <c r="C397" s="14">
        <v>58</v>
      </c>
      <c r="D397" s="14">
        <v>27.7</v>
      </c>
      <c r="E397" s="14">
        <v>1.6</v>
      </c>
      <c r="F397" s="14">
        <v>25</v>
      </c>
      <c r="G397" s="14">
        <v>0</v>
      </c>
      <c r="H397" s="14">
        <v>127</v>
      </c>
      <c r="I397" s="14"/>
    </row>
    <row r="398" spans="1:9" x14ac:dyDescent="0.3">
      <c r="A398" s="14">
        <v>3</v>
      </c>
      <c r="B398" s="14">
        <v>96</v>
      </c>
      <c r="C398" s="14">
        <v>56</v>
      </c>
      <c r="D398" s="14">
        <v>24.7</v>
      </c>
      <c r="E398" s="14">
        <v>0.94399999999999995</v>
      </c>
      <c r="F398" s="14">
        <v>39</v>
      </c>
      <c r="G398" s="14">
        <v>0</v>
      </c>
      <c r="H398" s="14">
        <v>96</v>
      </c>
      <c r="I398" s="14"/>
    </row>
    <row r="399" spans="1:9" x14ac:dyDescent="0.3">
      <c r="A399" s="14">
        <v>0</v>
      </c>
      <c r="B399" s="14">
        <v>131</v>
      </c>
      <c r="C399" s="14">
        <v>66</v>
      </c>
      <c r="D399" s="14">
        <v>34.299999999999997</v>
      </c>
      <c r="E399" s="14">
        <v>0.19600000000000001</v>
      </c>
      <c r="F399" s="14">
        <v>22</v>
      </c>
      <c r="G399" s="14">
        <v>1</v>
      </c>
      <c r="H399" s="14" t="s">
        <v>36</v>
      </c>
      <c r="I399" s="14">
        <v>131</v>
      </c>
    </row>
    <row r="400" spans="1:9" x14ac:dyDescent="0.3">
      <c r="A400" s="14">
        <v>3</v>
      </c>
      <c r="B400" s="14">
        <v>82</v>
      </c>
      <c r="C400" s="14">
        <v>70</v>
      </c>
      <c r="D400" s="14">
        <v>21.1</v>
      </c>
      <c r="E400" s="14">
        <v>0.38900000000000001</v>
      </c>
      <c r="F400" s="14">
        <v>25</v>
      </c>
      <c r="G400" s="14">
        <v>0</v>
      </c>
      <c r="H400" s="14">
        <v>82</v>
      </c>
      <c r="I400" s="14"/>
    </row>
    <row r="401" spans="1:9" x14ac:dyDescent="0.3">
      <c r="A401" s="14">
        <v>3</v>
      </c>
      <c r="B401" s="14">
        <v>193</v>
      </c>
      <c r="C401" s="14">
        <v>70</v>
      </c>
      <c r="D401" s="14">
        <v>34.9</v>
      </c>
      <c r="E401" s="14">
        <v>0.24099999999999999</v>
      </c>
      <c r="F401" s="14">
        <v>25</v>
      </c>
      <c r="G401" s="14">
        <v>1</v>
      </c>
      <c r="H401" s="14" t="s">
        <v>36</v>
      </c>
      <c r="I401" s="14">
        <v>193</v>
      </c>
    </row>
    <row r="402" spans="1:9" x14ac:dyDescent="0.3">
      <c r="A402" s="14">
        <v>4</v>
      </c>
      <c r="B402" s="14">
        <v>95</v>
      </c>
      <c r="C402" s="14">
        <v>64</v>
      </c>
      <c r="D402" s="14">
        <v>32</v>
      </c>
      <c r="E402" s="14">
        <v>0.161</v>
      </c>
      <c r="F402" s="14">
        <v>31</v>
      </c>
      <c r="G402" s="14">
        <v>1</v>
      </c>
      <c r="H402" s="14" t="s">
        <v>36</v>
      </c>
      <c r="I402" s="14">
        <v>95</v>
      </c>
    </row>
    <row r="403" spans="1:9" x14ac:dyDescent="0.3">
      <c r="A403" s="14">
        <v>6</v>
      </c>
      <c r="B403" s="14">
        <v>137</v>
      </c>
      <c r="C403" s="14">
        <v>61</v>
      </c>
      <c r="D403" s="14">
        <v>24.2</v>
      </c>
      <c r="E403" s="14">
        <v>0.151</v>
      </c>
      <c r="F403" s="14">
        <v>55</v>
      </c>
      <c r="G403" s="14">
        <v>0</v>
      </c>
      <c r="H403" s="14">
        <v>137</v>
      </c>
      <c r="I403" s="14"/>
    </row>
    <row r="404" spans="1:9" x14ac:dyDescent="0.3">
      <c r="A404" s="14">
        <v>5</v>
      </c>
      <c r="B404" s="14">
        <v>136</v>
      </c>
      <c r="C404" s="14">
        <v>84</v>
      </c>
      <c r="D404" s="14">
        <v>35</v>
      </c>
      <c r="E404" s="14">
        <v>0.28599999999999998</v>
      </c>
      <c r="F404" s="14">
        <v>35</v>
      </c>
      <c r="G404" s="14">
        <v>1</v>
      </c>
      <c r="H404" s="14" t="s">
        <v>36</v>
      </c>
      <c r="I404" s="14">
        <v>136</v>
      </c>
    </row>
    <row r="405" spans="1:9" x14ac:dyDescent="0.3">
      <c r="A405" s="14">
        <v>9</v>
      </c>
      <c r="B405" s="14">
        <v>72</v>
      </c>
      <c r="C405" s="14">
        <v>78</v>
      </c>
      <c r="D405" s="14">
        <v>31.6</v>
      </c>
      <c r="E405" s="14">
        <v>0.28000000000000003</v>
      </c>
      <c r="F405" s="14">
        <v>38</v>
      </c>
      <c r="G405" s="14">
        <v>0</v>
      </c>
      <c r="H405" s="14">
        <v>72</v>
      </c>
      <c r="I405" s="14"/>
    </row>
    <row r="406" spans="1:9" x14ac:dyDescent="0.3">
      <c r="A406" s="14">
        <v>5</v>
      </c>
      <c r="B406" s="14">
        <v>168</v>
      </c>
      <c r="C406" s="14">
        <v>64</v>
      </c>
      <c r="D406" s="14">
        <v>32.9</v>
      </c>
      <c r="E406" s="14">
        <v>0.13500000000000001</v>
      </c>
      <c r="F406" s="14">
        <v>41</v>
      </c>
      <c r="G406" s="14">
        <v>1</v>
      </c>
      <c r="H406" s="14" t="s">
        <v>36</v>
      </c>
      <c r="I406" s="14">
        <v>168</v>
      </c>
    </row>
    <row r="407" spans="1:9" x14ac:dyDescent="0.3">
      <c r="A407" s="14">
        <v>2</v>
      </c>
      <c r="B407" s="14">
        <v>123</v>
      </c>
      <c r="C407" s="14">
        <v>48</v>
      </c>
      <c r="D407" s="14">
        <v>42.1</v>
      </c>
      <c r="E407" s="14">
        <v>0.52</v>
      </c>
      <c r="F407" s="14">
        <v>26</v>
      </c>
      <c r="G407" s="14">
        <v>0</v>
      </c>
      <c r="H407" s="14">
        <v>123</v>
      </c>
      <c r="I407" s="14"/>
    </row>
    <row r="408" spans="1:9" x14ac:dyDescent="0.3">
      <c r="A408" s="14">
        <v>4</v>
      </c>
      <c r="B408" s="14">
        <v>115</v>
      </c>
      <c r="C408" s="14">
        <v>72</v>
      </c>
      <c r="D408" s="14">
        <v>28.9</v>
      </c>
      <c r="E408" s="14">
        <v>0.376</v>
      </c>
      <c r="F408" s="14">
        <v>46</v>
      </c>
      <c r="G408" s="14">
        <v>1</v>
      </c>
      <c r="H408" s="14" t="s">
        <v>36</v>
      </c>
      <c r="I408" s="14">
        <v>115</v>
      </c>
    </row>
    <row r="409" spans="1:9" x14ac:dyDescent="0.3">
      <c r="A409" s="14">
        <v>0</v>
      </c>
      <c r="B409" s="14">
        <v>101</v>
      </c>
      <c r="C409" s="14">
        <v>62</v>
      </c>
      <c r="D409" s="14">
        <v>21.9</v>
      </c>
      <c r="E409" s="14">
        <v>0.33600000000000002</v>
      </c>
      <c r="F409" s="14">
        <v>25</v>
      </c>
      <c r="G409" s="14">
        <v>0</v>
      </c>
      <c r="H409" s="14">
        <v>101</v>
      </c>
      <c r="I409" s="14"/>
    </row>
    <row r="410" spans="1:9" x14ac:dyDescent="0.3">
      <c r="A410" s="14">
        <v>8</v>
      </c>
      <c r="B410" s="14">
        <v>197</v>
      </c>
      <c r="C410" s="14">
        <v>74</v>
      </c>
      <c r="D410" s="14">
        <v>25.9</v>
      </c>
      <c r="E410" s="14">
        <v>1.1910000000000001</v>
      </c>
      <c r="F410" s="14">
        <v>39</v>
      </c>
      <c r="G410" s="14">
        <v>1</v>
      </c>
      <c r="H410" s="14" t="s">
        <v>36</v>
      </c>
      <c r="I410" s="14">
        <v>197</v>
      </c>
    </row>
    <row r="411" spans="1:9" x14ac:dyDescent="0.3">
      <c r="A411" s="14">
        <v>1</v>
      </c>
      <c r="B411" s="14">
        <v>172</v>
      </c>
      <c r="C411" s="14">
        <v>68</v>
      </c>
      <c r="D411" s="14">
        <v>42.4</v>
      </c>
      <c r="E411" s="14">
        <v>0.70199999999999996</v>
      </c>
      <c r="F411" s="14">
        <v>28</v>
      </c>
      <c r="G411" s="14">
        <v>1</v>
      </c>
      <c r="H411" s="14" t="s">
        <v>36</v>
      </c>
      <c r="I411" s="14">
        <v>172</v>
      </c>
    </row>
    <row r="412" spans="1:9" x14ac:dyDescent="0.3">
      <c r="A412" s="14">
        <v>6</v>
      </c>
      <c r="B412" s="14">
        <v>102</v>
      </c>
      <c r="C412" s="14">
        <v>90</v>
      </c>
      <c r="D412" s="14">
        <v>35.700000000000003</v>
      </c>
      <c r="E412" s="14">
        <v>0.67400000000000004</v>
      </c>
      <c r="F412" s="14">
        <v>28</v>
      </c>
      <c r="G412" s="14">
        <v>0</v>
      </c>
      <c r="H412" s="14">
        <v>102</v>
      </c>
      <c r="I412" s="14"/>
    </row>
    <row r="413" spans="1:9" x14ac:dyDescent="0.3">
      <c r="A413" s="14">
        <v>1</v>
      </c>
      <c r="B413" s="14">
        <v>112</v>
      </c>
      <c r="C413" s="14">
        <v>72</v>
      </c>
      <c r="D413" s="14">
        <v>34.4</v>
      </c>
      <c r="E413" s="14">
        <v>0.52800000000000002</v>
      </c>
      <c r="F413" s="14">
        <v>25</v>
      </c>
      <c r="G413" s="14">
        <v>0</v>
      </c>
      <c r="H413" s="14">
        <v>112</v>
      </c>
      <c r="I413" s="14"/>
    </row>
    <row r="414" spans="1:9" x14ac:dyDescent="0.3">
      <c r="A414" s="14">
        <v>1</v>
      </c>
      <c r="B414" s="14">
        <v>143</v>
      </c>
      <c r="C414" s="14">
        <v>84</v>
      </c>
      <c r="D414" s="14">
        <v>42.4</v>
      </c>
      <c r="E414" s="14">
        <v>1.0760000000000001</v>
      </c>
      <c r="F414" s="14">
        <v>22</v>
      </c>
      <c r="G414" s="14">
        <v>0</v>
      </c>
      <c r="H414" s="14">
        <v>143</v>
      </c>
      <c r="I414" s="14"/>
    </row>
    <row r="415" spans="1:9" x14ac:dyDescent="0.3">
      <c r="A415" s="14">
        <v>1</v>
      </c>
      <c r="B415" s="14">
        <v>143</v>
      </c>
      <c r="C415" s="14">
        <v>74</v>
      </c>
      <c r="D415" s="14">
        <v>26.2</v>
      </c>
      <c r="E415" s="14">
        <v>0.25600000000000001</v>
      </c>
      <c r="F415" s="14">
        <v>21</v>
      </c>
      <c r="G415" s="14">
        <v>0</v>
      </c>
      <c r="H415" s="14">
        <v>143</v>
      </c>
      <c r="I415" s="14"/>
    </row>
    <row r="416" spans="1:9" x14ac:dyDescent="0.3">
      <c r="A416" s="14">
        <v>0</v>
      </c>
      <c r="B416" s="14">
        <v>138</v>
      </c>
      <c r="C416" s="14">
        <v>60</v>
      </c>
      <c r="D416" s="14">
        <v>34.6</v>
      </c>
      <c r="E416" s="14">
        <v>0.53400000000000003</v>
      </c>
      <c r="F416" s="14">
        <v>21</v>
      </c>
      <c r="G416" s="14">
        <v>1</v>
      </c>
      <c r="H416" s="14" t="s">
        <v>36</v>
      </c>
      <c r="I416" s="14">
        <v>138</v>
      </c>
    </row>
    <row r="417" spans="1:9" x14ac:dyDescent="0.3">
      <c r="A417" s="14">
        <v>3</v>
      </c>
      <c r="B417" s="14">
        <v>173</v>
      </c>
      <c r="C417" s="14">
        <v>84</v>
      </c>
      <c r="D417" s="14">
        <v>35.700000000000003</v>
      </c>
      <c r="E417" s="14">
        <v>0.25800000000000001</v>
      </c>
      <c r="F417" s="14">
        <v>22</v>
      </c>
      <c r="G417" s="14">
        <v>1</v>
      </c>
      <c r="H417" s="14" t="s">
        <v>36</v>
      </c>
      <c r="I417" s="14">
        <v>173</v>
      </c>
    </row>
    <row r="418" spans="1:9" x14ac:dyDescent="0.3">
      <c r="A418" s="14">
        <v>1</v>
      </c>
      <c r="B418" s="14">
        <v>97</v>
      </c>
      <c r="C418" s="14">
        <v>68</v>
      </c>
      <c r="D418" s="14">
        <v>27.2</v>
      </c>
      <c r="E418" s="14">
        <v>1.095</v>
      </c>
      <c r="F418" s="14">
        <v>22</v>
      </c>
      <c r="G418" s="14">
        <v>0</v>
      </c>
      <c r="H418" s="14">
        <v>97</v>
      </c>
      <c r="I418" s="14"/>
    </row>
    <row r="419" spans="1:9" x14ac:dyDescent="0.3">
      <c r="A419" s="14">
        <v>4</v>
      </c>
      <c r="B419" s="14">
        <v>144</v>
      </c>
      <c r="C419" s="14">
        <v>82</v>
      </c>
      <c r="D419" s="14">
        <v>38.5</v>
      </c>
      <c r="E419" s="14">
        <v>0.55400000000000005</v>
      </c>
      <c r="F419" s="14">
        <v>37</v>
      </c>
      <c r="G419" s="14">
        <v>1</v>
      </c>
      <c r="H419" s="14" t="s">
        <v>36</v>
      </c>
      <c r="I419" s="14">
        <v>144</v>
      </c>
    </row>
    <row r="420" spans="1:9" x14ac:dyDescent="0.3">
      <c r="A420" s="14">
        <v>1</v>
      </c>
      <c r="B420" s="14">
        <v>83</v>
      </c>
      <c r="C420" s="14">
        <v>68</v>
      </c>
      <c r="D420" s="14">
        <v>18.2</v>
      </c>
      <c r="E420" s="14">
        <v>0.624</v>
      </c>
      <c r="F420" s="14">
        <v>27</v>
      </c>
      <c r="G420" s="14">
        <v>0</v>
      </c>
      <c r="H420" s="14">
        <v>83</v>
      </c>
      <c r="I420" s="14"/>
    </row>
    <row r="421" spans="1:9" x14ac:dyDescent="0.3">
      <c r="A421" s="14">
        <v>3</v>
      </c>
      <c r="B421" s="14">
        <v>129</v>
      </c>
      <c r="C421" s="14">
        <v>64</v>
      </c>
      <c r="D421" s="14">
        <v>26.4</v>
      </c>
      <c r="E421" s="14">
        <v>0.219</v>
      </c>
      <c r="F421" s="14">
        <v>28</v>
      </c>
      <c r="G421" s="14">
        <v>1</v>
      </c>
      <c r="H421" s="14" t="s">
        <v>36</v>
      </c>
      <c r="I421" s="14">
        <v>129</v>
      </c>
    </row>
    <row r="422" spans="1:9" x14ac:dyDescent="0.3">
      <c r="A422" s="14">
        <v>1</v>
      </c>
      <c r="B422" s="14">
        <v>119</v>
      </c>
      <c r="C422" s="14">
        <v>88</v>
      </c>
      <c r="D422" s="14">
        <v>45.3</v>
      </c>
      <c r="E422" s="14">
        <v>0.50700000000000001</v>
      </c>
      <c r="F422" s="14">
        <v>26</v>
      </c>
      <c r="G422" s="14">
        <v>0</v>
      </c>
      <c r="H422" s="14">
        <v>119</v>
      </c>
      <c r="I422" s="14"/>
    </row>
    <row r="423" spans="1:9" x14ac:dyDescent="0.3">
      <c r="A423" s="14">
        <v>2</v>
      </c>
      <c r="B423" s="14">
        <v>94</v>
      </c>
      <c r="C423" s="14">
        <v>68</v>
      </c>
      <c r="D423" s="14">
        <v>26</v>
      </c>
      <c r="E423" s="14">
        <v>0.56100000000000005</v>
      </c>
      <c r="F423" s="14">
        <v>21</v>
      </c>
      <c r="G423" s="14">
        <v>0</v>
      </c>
      <c r="H423" s="14">
        <v>94</v>
      </c>
      <c r="I423" s="14"/>
    </row>
    <row r="424" spans="1:9" x14ac:dyDescent="0.3">
      <c r="A424" s="14">
        <v>0</v>
      </c>
      <c r="B424" s="14">
        <v>102</v>
      </c>
      <c r="C424" s="14">
        <v>64</v>
      </c>
      <c r="D424" s="14">
        <v>40.6</v>
      </c>
      <c r="E424" s="14">
        <v>0.496</v>
      </c>
      <c r="F424" s="14">
        <v>21</v>
      </c>
      <c r="G424" s="14">
        <v>0</v>
      </c>
      <c r="H424" s="14">
        <v>102</v>
      </c>
      <c r="I424" s="14"/>
    </row>
    <row r="425" spans="1:9" x14ac:dyDescent="0.3">
      <c r="A425" s="14">
        <v>2</v>
      </c>
      <c r="B425" s="14">
        <v>115</v>
      </c>
      <c r="C425" s="14">
        <v>64</v>
      </c>
      <c r="D425" s="14">
        <v>30.8</v>
      </c>
      <c r="E425" s="14">
        <v>0.42099999999999999</v>
      </c>
      <c r="F425" s="14">
        <v>21</v>
      </c>
      <c r="G425" s="14">
        <v>0</v>
      </c>
      <c r="H425" s="14">
        <v>115</v>
      </c>
      <c r="I425" s="14"/>
    </row>
    <row r="426" spans="1:9" x14ac:dyDescent="0.3">
      <c r="A426" s="14">
        <v>8</v>
      </c>
      <c r="B426" s="14">
        <v>151</v>
      </c>
      <c r="C426" s="14">
        <v>78</v>
      </c>
      <c r="D426" s="14">
        <v>42.9</v>
      </c>
      <c r="E426" s="14">
        <v>0.51600000000000001</v>
      </c>
      <c r="F426" s="14">
        <v>36</v>
      </c>
      <c r="G426" s="14">
        <v>1</v>
      </c>
      <c r="H426" s="14" t="s">
        <v>36</v>
      </c>
      <c r="I426" s="14">
        <v>151</v>
      </c>
    </row>
    <row r="427" spans="1:9" x14ac:dyDescent="0.3">
      <c r="A427" s="14">
        <v>4</v>
      </c>
      <c r="B427" s="14">
        <v>184</v>
      </c>
      <c r="C427" s="14">
        <v>78</v>
      </c>
      <c r="D427" s="14">
        <v>37</v>
      </c>
      <c r="E427" s="14">
        <v>0.26400000000000001</v>
      </c>
      <c r="F427" s="14">
        <v>31</v>
      </c>
      <c r="G427" s="14">
        <v>1</v>
      </c>
      <c r="H427" s="14" t="s">
        <v>36</v>
      </c>
      <c r="I427" s="14">
        <v>184</v>
      </c>
    </row>
    <row r="428" spans="1:9" x14ac:dyDescent="0.3">
      <c r="A428" s="14">
        <v>0</v>
      </c>
      <c r="B428" s="14">
        <v>94</v>
      </c>
      <c r="C428" s="14">
        <v>72</v>
      </c>
      <c r="D428" s="14">
        <v>32</v>
      </c>
      <c r="E428" s="14">
        <v>0.25600000000000001</v>
      </c>
      <c r="F428" s="14">
        <v>25</v>
      </c>
      <c r="G428" s="14">
        <v>0</v>
      </c>
      <c r="H428" s="14">
        <v>94</v>
      </c>
      <c r="I428" s="14"/>
    </row>
    <row r="429" spans="1:9" x14ac:dyDescent="0.3">
      <c r="A429" s="14">
        <v>1</v>
      </c>
      <c r="B429" s="14">
        <v>181</v>
      </c>
      <c r="C429" s="14">
        <v>64</v>
      </c>
      <c r="D429" s="14">
        <v>34.1</v>
      </c>
      <c r="E429" s="14">
        <v>0.32800000000000001</v>
      </c>
      <c r="F429" s="14">
        <v>38</v>
      </c>
      <c r="G429" s="14">
        <v>1</v>
      </c>
      <c r="H429" s="14" t="s">
        <v>36</v>
      </c>
      <c r="I429" s="14">
        <v>181</v>
      </c>
    </row>
    <row r="430" spans="1:9" x14ac:dyDescent="0.3">
      <c r="A430" s="14">
        <v>0</v>
      </c>
      <c r="B430" s="14">
        <v>135</v>
      </c>
      <c r="C430" s="14">
        <v>94</v>
      </c>
      <c r="D430" s="14">
        <v>40.6</v>
      </c>
      <c r="E430" s="14">
        <v>0.28399999999999997</v>
      </c>
      <c r="F430" s="14">
        <v>26</v>
      </c>
      <c r="G430" s="14">
        <v>0</v>
      </c>
      <c r="H430" s="14">
        <v>135</v>
      </c>
      <c r="I430" s="14"/>
    </row>
    <row r="431" spans="1:9" x14ac:dyDescent="0.3">
      <c r="A431" s="14">
        <v>1</v>
      </c>
      <c r="B431" s="14">
        <v>95</v>
      </c>
      <c r="C431" s="14">
        <v>82</v>
      </c>
      <c r="D431" s="14">
        <v>35</v>
      </c>
      <c r="E431" s="14">
        <v>0.23300000000000001</v>
      </c>
      <c r="F431" s="14">
        <v>43</v>
      </c>
      <c r="G431" s="14">
        <v>1</v>
      </c>
      <c r="H431" s="14" t="s">
        <v>36</v>
      </c>
      <c r="I431" s="14">
        <v>95</v>
      </c>
    </row>
    <row r="432" spans="1:9" x14ac:dyDescent="0.3">
      <c r="A432" s="14">
        <v>2</v>
      </c>
      <c r="B432" s="14">
        <v>99</v>
      </c>
      <c r="C432" s="14">
        <v>72</v>
      </c>
      <c r="D432" s="14">
        <v>22.2</v>
      </c>
      <c r="E432" s="14">
        <v>0.108</v>
      </c>
      <c r="F432" s="14">
        <v>23</v>
      </c>
      <c r="G432" s="14">
        <v>0</v>
      </c>
      <c r="H432" s="14">
        <v>99</v>
      </c>
      <c r="I432" s="14"/>
    </row>
    <row r="433" spans="1:9" x14ac:dyDescent="0.3">
      <c r="A433" s="14">
        <v>3</v>
      </c>
      <c r="B433" s="14">
        <v>89</v>
      </c>
      <c r="C433" s="14">
        <v>74</v>
      </c>
      <c r="D433" s="14">
        <v>30.4</v>
      </c>
      <c r="E433" s="14">
        <v>0.55100000000000005</v>
      </c>
      <c r="F433" s="14">
        <v>38</v>
      </c>
      <c r="G433" s="14">
        <v>0</v>
      </c>
      <c r="H433" s="14">
        <v>89</v>
      </c>
      <c r="I433" s="14"/>
    </row>
    <row r="434" spans="1:9" x14ac:dyDescent="0.3">
      <c r="A434" s="14">
        <v>1</v>
      </c>
      <c r="B434" s="14">
        <v>80</v>
      </c>
      <c r="C434" s="14">
        <v>74</v>
      </c>
      <c r="D434" s="14">
        <v>30</v>
      </c>
      <c r="E434" s="14">
        <v>0.52700000000000002</v>
      </c>
      <c r="F434" s="14">
        <v>22</v>
      </c>
      <c r="G434" s="14">
        <v>0</v>
      </c>
      <c r="H434" s="14">
        <v>80</v>
      </c>
      <c r="I434" s="14"/>
    </row>
    <row r="435" spans="1:9" x14ac:dyDescent="0.3">
      <c r="A435" s="14">
        <v>2</v>
      </c>
      <c r="B435" s="14">
        <v>139</v>
      </c>
      <c r="C435" s="14">
        <v>75</v>
      </c>
      <c r="D435" s="14">
        <v>25.6</v>
      </c>
      <c r="E435" s="14">
        <v>0.16700000000000001</v>
      </c>
      <c r="F435" s="14">
        <v>29</v>
      </c>
      <c r="G435" s="14">
        <v>0</v>
      </c>
      <c r="H435" s="14">
        <v>139</v>
      </c>
      <c r="I435" s="14"/>
    </row>
    <row r="436" spans="1:9" x14ac:dyDescent="0.3">
      <c r="A436" s="14">
        <v>1</v>
      </c>
      <c r="B436" s="14">
        <v>90</v>
      </c>
      <c r="C436" s="14">
        <v>68</v>
      </c>
      <c r="D436" s="14">
        <v>24.5</v>
      </c>
      <c r="E436" s="14">
        <v>1.1379999999999999</v>
      </c>
      <c r="F436" s="14">
        <v>36</v>
      </c>
      <c r="G436" s="14">
        <v>0</v>
      </c>
      <c r="H436" s="14">
        <v>90</v>
      </c>
      <c r="I436" s="14"/>
    </row>
    <row r="437" spans="1:9" x14ac:dyDescent="0.3">
      <c r="A437" s="14">
        <v>0</v>
      </c>
      <c r="B437" s="14">
        <v>141</v>
      </c>
      <c r="C437" s="14">
        <v>72</v>
      </c>
      <c r="D437" s="14">
        <v>42.4</v>
      </c>
      <c r="E437" s="14">
        <v>0.20499999999999999</v>
      </c>
      <c r="F437" s="14">
        <v>29</v>
      </c>
      <c r="G437" s="14">
        <v>1</v>
      </c>
      <c r="H437" s="14" t="s">
        <v>36</v>
      </c>
      <c r="I437" s="14">
        <v>141</v>
      </c>
    </row>
    <row r="438" spans="1:9" x14ac:dyDescent="0.3">
      <c r="A438" s="14">
        <v>12</v>
      </c>
      <c r="B438" s="14">
        <v>140</v>
      </c>
      <c r="C438" s="14">
        <v>85</v>
      </c>
      <c r="D438" s="14">
        <v>37.4</v>
      </c>
      <c r="E438" s="14">
        <v>0.24399999999999999</v>
      </c>
      <c r="F438" s="14">
        <v>41</v>
      </c>
      <c r="G438" s="14">
        <v>0</v>
      </c>
      <c r="H438" s="14">
        <v>140</v>
      </c>
      <c r="I438" s="14"/>
    </row>
    <row r="439" spans="1:9" x14ac:dyDescent="0.3">
      <c r="A439" s="14">
        <v>5</v>
      </c>
      <c r="B439" s="14">
        <v>147</v>
      </c>
      <c r="C439" s="14">
        <v>75</v>
      </c>
      <c r="D439" s="14">
        <v>29.9</v>
      </c>
      <c r="E439" s="14">
        <v>0.434</v>
      </c>
      <c r="F439" s="14">
        <v>28</v>
      </c>
      <c r="G439" s="14">
        <v>0</v>
      </c>
      <c r="H439" s="14">
        <v>147</v>
      </c>
      <c r="I439" s="14"/>
    </row>
    <row r="440" spans="1:9" x14ac:dyDescent="0.3">
      <c r="A440" s="14">
        <v>1</v>
      </c>
      <c r="B440" s="14">
        <v>97</v>
      </c>
      <c r="C440" s="14">
        <v>70</v>
      </c>
      <c r="D440" s="14">
        <v>18.2</v>
      </c>
      <c r="E440" s="14">
        <v>0.14699999999999999</v>
      </c>
      <c r="F440" s="14">
        <v>21</v>
      </c>
      <c r="G440" s="14">
        <v>0</v>
      </c>
      <c r="H440" s="14">
        <v>97</v>
      </c>
      <c r="I440" s="14"/>
    </row>
    <row r="441" spans="1:9" x14ac:dyDescent="0.3">
      <c r="A441" s="14">
        <v>6</v>
      </c>
      <c r="B441" s="14">
        <v>107</v>
      </c>
      <c r="C441" s="14">
        <v>88</v>
      </c>
      <c r="D441" s="14">
        <v>36.799999999999997</v>
      </c>
      <c r="E441" s="14">
        <v>0.72699999999999998</v>
      </c>
      <c r="F441" s="14">
        <v>31</v>
      </c>
      <c r="G441" s="14">
        <v>0</v>
      </c>
      <c r="H441" s="14">
        <v>107</v>
      </c>
      <c r="I441" s="14"/>
    </row>
    <row r="442" spans="1:9" x14ac:dyDescent="0.3">
      <c r="A442" s="14">
        <v>0</v>
      </c>
      <c r="B442" s="14">
        <v>189</v>
      </c>
      <c r="C442" s="14">
        <v>104</v>
      </c>
      <c r="D442" s="14">
        <v>34.299999999999997</v>
      </c>
      <c r="E442" s="14">
        <v>0.435</v>
      </c>
      <c r="F442" s="14">
        <v>41</v>
      </c>
      <c r="G442" s="14">
        <v>1</v>
      </c>
      <c r="H442" s="14" t="s">
        <v>36</v>
      </c>
      <c r="I442" s="14">
        <v>189</v>
      </c>
    </row>
    <row r="443" spans="1:9" x14ac:dyDescent="0.3">
      <c r="A443" s="14">
        <v>2</v>
      </c>
      <c r="B443" s="14">
        <v>83</v>
      </c>
      <c r="C443" s="14">
        <v>66</v>
      </c>
      <c r="D443" s="14">
        <v>32.200000000000003</v>
      </c>
      <c r="E443" s="14">
        <v>0.497</v>
      </c>
      <c r="F443" s="14">
        <v>22</v>
      </c>
      <c r="G443" s="14">
        <v>0</v>
      </c>
      <c r="H443" s="14">
        <v>83</v>
      </c>
      <c r="I443" s="14"/>
    </row>
    <row r="444" spans="1:9" x14ac:dyDescent="0.3">
      <c r="A444" s="14">
        <v>4</v>
      </c>
      <c r="B444" s="14">
        <v>117</v>
      </c>
      <c r="C444" s="14">
        <v>64</v>
      </c>
      <c r="D444" s="14">
        <v>33.200000000000003</v>
      </c>
      <c r="E444" s="14">
        <v>0.23</v>
      </c>
      <c r="F444" s="14">
        <v>24</v>
      </c>
      <c r="G444" s="14">
        <v>0</v>
      </c>
      <c r="H444" s="14">
        <v>117</v>
      </c>
      <c r="I444" s="14"/>
    </row>
    <row r="445" spans="1:9" x14ac:dyDescent="0.3">
      <c r="A445" s="14">
        <v>8</v>
      </c>
      <c r="B445" s="14">
        <v>108</v>
      </c>
      <c r="C445" s="14">
        <v>70</v>
      </c>
      <c r="D445" s="14">
        <v>30.5</v>
      </c>
      <c r="E445" s="14">
        <v>0.95499999999999996</v>
      </c>
      <c r="F445" s="14">
        <v>33</v>
      </c>
      <c r="G445" s="14">
        <v>1</v>
      </c>
      <c r="H445" s="14" t="s">
        <v>36</v>
      </c>
      <c r="I445" s="14">
        <v>108</v>
      </c>
    </row>
    <row r="446" spans="1:9" x14ac:dyDescent="0.3">
      <c r="A446" s="14">
        <v>4</v>
      </c>
      <c r="B446" s="14">
        <v>117</v>
      </c>
      <c r="C446" s="14">
        <v>62</v>
      </c>
      <c r="D446" s="14">
        <v>29.7</v>
      </c>
      <c r="E446" s="14">
        <v>0.38</v>
      </c>
      <c r="F446" s="14">
        <v>30</v>
      </c>
      <c r="G446" s="14">
        <v>1</v>
      </c>
      <c r="H446" s="14" t="s">
        <v>36</v>
      </c>
      <c r="I446" s="14">
        <v>117</v>
      </c>
    </row>
    <row r="447" spans="1:9" x14ac:dyDescent="0.3">
      <c r="A447" s="14">
        <v>0</v>
      </c>
      <c r="B447" s="14">
        <v>180</v>
      </c>
      <c r="C447" s="14">
        <v>78</v>
      </c>
      <c r="D447" s="14">
        <v>59.4</v>
      </c>
      <c r="E447" s="14">
        <v>2.42</v>
      </c>
      <c r="F447" s="14">
        <v>25</v>
      </c>
      <c r="G447" s="14">
        <v>1</v>
      </c>
      <c r="H447" s="14" t="s">
        <v>36</v>
      </c>
      <c r="I447" s="14">
        <v>180</v>
      </c>
    </row>
    <row r="448" spans="1:9" x14ac:dyDescent="0.3">
      <c r="A448" s="14">
        <v>1</v>
      </c>
      <c r="B448" s="14">
        <v>100</v>
      </c>
      <c r="C448" s="14">
        <v>72</v>
      </c>
      <c r="D448" s="14">
        <v>25.3</v>
      </c>
      <c r="E448" s="14">
        <v>0.65800000000000003</v>
      </c>
      <c r="F448" s="14">
        <v>28</v>
      </c>
      <c r="G448" s="14">
        <v>0</v>
      </c>
      <c r="H448" s="14">
        <v>100</v>
      </c>
      <c r="I448" s="14"/>
    </row>
    <row r="449" spans="1:9" x14ac:dyDescent="0.3">
      <c r="A449" s="14">
        <v>0</v>
      </c>
      <c r="B449" s="14">
        <v>95</v>
      </c>
      <c r="C449" s="14">
        <v>80</v>
      </c>
      <c r="D449" s="14">
        <v>36.5</v>
      </c>
      <c r="E449" s="14">
        <v>0.33</v>
      </c>
      <c r="F449" s="14">
        <v>26</v>
      </c>
      <c r="G449" s="14">
        <v>0</v>
      </c>
      <c r="H449" s="14">
        <v>95</v>
      </c>
      <c r="I449" s="14"/>
    </row>
    <row r="450" spans="1:9" x14ac:dyDescent="0.3">
      <c r="A450" s="14">
        <v>0</v>
      </c>
      <c r="B450" s="14">
        <v>104</v>
      </c>
      <c r="C450" s="14">
        <v>64</v>
      </c>
      <c r="D450" s="14">
        <v>33.6</v>
      </c>
      <c r="E450" s="14">
        <v>0.51</v>
      </c>
      <c r="F450" s="14">
        <v>22</v>
      </c>
      <c r="G450" s="14">
        <v>1</v>
      </c>
      <c r="H450" s="14" t="s">
        <v>36</v>
      </c>
      <c r="I450" s="14">
        <v>104</v>
      </c>
    </row>
    <row r="451" spans="1:9" x14ac:dyDescent="0.3">
      <c r="A451" s="14">
        <v>0</v>
      </c>
      <c r="B451" s="14">
        <v>120</v>
      </c>
      <c r="C451" s="14">
        <v>74</v>
      </c>
      <c r="D451" s="14">
        <v>30.5</v>
      </c>
      <c r="E451" s="14">
        <v>0.28499999999999998</v>
      </c>
      <c r="F451" s="14">
        <v>26</v>
      </c>
      <c r="G451" s="14">
        <v>0</v>
      </c>
      <c r="H451" s="14">
        <v>120</v>
      </c>
      <c r="I451" s="14"/>
    </row>
    <row r="452" spans="1:9" x14ac:dyDescent="0.3">
      <c r="A452" s="14">
        <v>1</v>
      </c>
      <c r="B452" s="14">
        <v>82</v>
      </c>
      <c r="C452" s="14">
        <v>64</v>
      </c>
      <c r="D452" s="14">
        <v>21.2</v>
      </c>
      <c r="E452" s="14">
        <v>0.41499999999999998</v>
      </c>
      <c r="F452" s="14">
        <v>23</v>
      </c>
      <c r="G452" s="14">
        <v>0</v>
      </c>
      <c r="H452" s="14">
        <v>82</v>
      </c>
      <c r="I452" s="14"/>
    </row>
    <row r="453" spans="1:9" x14ac:dyDescent="0.3">
      <c r="A453" s="14">
        <v>2</v>
      </c>
      <c r="B453" s="14">
        <v>134</v>
      </c>
      <c r="C453" s="14">
        <v>70</v>
      </c>
      <c r="D453" s="14">
        <v>28.9</v>
      </c>
      <c r="E453" s="14">
        <v>0.54200000000000004</v>
      </c>
      <c r="F453" s="14">
        <v>23</v>
      </c>
      <c r="G453" s="14">
        <v>1</v>
      </c>
      <c r="H453" s="14" t="s">
        <v>36</v>
      </c>
      <c r="I453" s="14">
        <v>134</v>
      </c>
    </row>
    <row r="454" spans="1:9" x14ac:dyDescent="0.3">
      <c r="A454" s="14">
        <v>0</v>
      </c>
      <c r="B454" s="14">
        <v>91</v>
      </c>
      <c r="C454" s="14">
        <v>68</v>
      </c>
      <c r="D454" s="14">
        <v>39.9</v>
      </c>
      <c r="E454" s="14">
        <v>0.38100000000000001</v>
      </c>
      <c r="F454" s="14">
        <v>25</v>
      </c>
      <c r="G454" s="14">
        <v>0</v>
      </c>
      <c r="H454" s="14">
        <v>91</v>
      </c>
      <c r="I454" s="14"/>
    </row>
    <row r="455" spans="1:9" x14ac:dyDescent="0.3">
      <c r="A455" s="14">
        <v>2</v>
      </c>
      <c r="B455" s="14">
        <v>119</v>
      </c>
      <c r="C455" s="14">
        <v>72</v>
      </c>
      <c r="D455" s="14">
        <v>19.600000000000001</v>
      </c>
      <c r="E455" s="14">
        <v>0.83199999999999996</v>
      </c>
      <c r="F455" s="14">
        <v>72</v>
      </c>
      <c r="G455" s="14">
        <v>0</v>
      </c>
      <c r="H455" s="14">
        <v>119</v>
      </c>
      <c r="I455" s="14"/>
    </row>
    <row r="456" spans="1:9" x14ac:dyDescent="0.3">
      <c r="A456" s="14">
        <v>2</v>
      </c>
      <c r="B456" s="14">
        <v>100</v>
      </c>
      <c r="C456" s="14">
        <v>54</v>
      </c>
      <c r="D456" s="14">
        <v>37.799999999999997</v>
      </c>
      <c r="E456" s="14">
        <v>0.498</v>
      </c>
      <c r="F456" s="14">
        <v>24</v>
      </c>
      <c r="G456" s="14">
        <v>0</v>
      </c>
      <c r="H456" s="14">
        <v>100</v>
      </c>
      <c r="I456" s="14"/>
    </row>
    <row r="457" spans="1:9" x14ac:dyDescent="0.3">
      <c r="A457" s="14">
        <v>14</v>
      </c>
      <c r="B457" s="14">
        <v>175</v>
      </c>
      <c r="C457" s="14">
        <v>62</v>
      </c>
      <c r="D457" s="14">
        <v>33.6</v>
      </c>
      <c r="E457" s="14">
        <v>0.21199999999999999</v>
      </c>
      <c r="F457" s="14">
        <v>38</v>
      </c>
      <c r="G457" s="14">
        <v>1</v>
      </c>
      <c r="H457" s="14" t="s">
        <v>36</v>
      </c>
      <c r="I457" s="14">
        <v>175</v>
      </c>
    </row>
    <row r="458" spans="1:9" x14ac:dyDescent="0.3">
      <c r="A458" s="14">
        <v>1</v>
      </c>
      <c r="B458" s="14">
        <v>135</v>
      </c>
      <c r="C458" s="14">
        <v>54</v>
      </c>
      <c r="D458" s="14">
        <v>26.7</v>
      </c>
      <c r="E458" s="14">
        <v>0.68700000000000006</v>
      </c>
      <c r="F458" s="14">
        <v>62</v>
      </c>
      <c r="G458" s="14">
        <v>0</v>
      </c>
      <c r="H458" s="14">
        <v>135</v>
      </c>
      <c r="I458" s="14"/>
    </row>
    <row r="459" spans="1:9" x14ac:dyDescent="0.3">
      <c r="A459" s="14">
        <v>5</v>
      </c>
      <c r="B459" s="14">
        <v>86</v>
      </c>
      <c r="C459" s="14">
        <v>68</v>
      </c>
      <c r="D459" s="14">
        <v>30.2</v>
      </c>
      <c r="E459" s="14">
        <v>0.36399999999999999</v>
      </c>
      <c r="F459" s="14">
        <v>24</v>
      </c>
      <c r="G459" s="14">
        <v>0</v>
      </c>
      <c r="H459" s="14">
        <v>86</v>
      </c>
      <c r="I459" s="14"/>
    </row>
    <row r="460" spans="1:9" x14ac:dyDescent="0.3">
      <c r="A460" s="14">
        <v>10</v>
      </c>
      <c r="B460" s="14">
        <v>148</v>
      </c>
      <c r="C460" s="14">
        <v>84</v>
      </c>
      <c r="D460" s="14">
        <v>37.6</v>
      </c>
      <c r="E460" s="14">
        <v>1.0009999999999999</v>
      </c>
      <c r="F460" s="14">
        <v>51</v>
      </c>
      <c r="G460" s="14">
        <v>1</v>
      </c>
      <c r="H460" s="14" t="s">
        <v>36</v>
      </c>
      <c r="I460" s="14">
        <v>148</v>
      </c>
    </row>
    <row r="461" spans="1:9" x14ac:dyDescent="0.3">
      <c r="A461" s="14">
        <v>9</v>
      </c>
      <c r="B461" s="14">
        <v>134</v>
      </c>
      <c r="C461" s="14">
        <v>74</v>
      </c>
      <c r="D461" s="14">
        <v>25.9</v>
      </c>
      <c r="E461" s="14">
        <v>0.46</v>
      </c>
      <c r="F461" s="14">
        <v>81</v>
      </c>
      <c r="G461" s="14">
        <v>0</v>
      </c>
      <c r="H461" s="14">
        <v>134</v>
      </c>
      <c r="I461" s="14"/>
    </row>
    <row r="462" spans="1:9" x14ac:dyDescent="0.3">
      <c r="A462" s="14">
        <v>9</v>
      </c>
      <c r="B462" s="14">
        <v>120</v>
      </c>
      <c r="C462" s="14">
        <v>72</v>
      </c>
      <c r="D462" s="14">
        <v>20.8</v>
      </c>
      <c r="E462" s="14">
        <v>0.73299999999999998</v>
      </c>
      <c r="F462" s="14">
        <v>48</v>
      </c>
      <c r="G462" s="14">
        <v>0</v>
      </c>
      <c r="H462" s="14">
        <v>120</v>
      </c>
      <c r="I462" s="14"/>
    </row>
    <row r="463" spans="1:9" x14ac:dyDescent="0.3">
      <c r="A463" s="14">
        <v>1</v>
      </c>
      <c r="B463" s="14">
        <v>71</v>
      </c>
      <c r="C463" s="14">
        <v>62</v>
      </c>
      <c r="D463" s="14">
        <v>21.8</v>
      </c>
      <c r="E463" s="14">
        <v>0.41599999999999998</v>
      </c>
      <c r="F463" s="14">
        <v>26</v>
      </c>
      <c r="G463" s="14">
        <v>0</v>
      </c>
      <c r="H463" s="14">
        <v>71</v>
      </c>
      <c r="I463" s="14"/>
    </row>
    <row r="464" spans="1:9" x14ac:dyDescent="0.3">
      <c r="A464" s="14">
        <v>8</v>
      </c>
      <c r="B464" s="14">
        <v>74</v>
      </c>
      <c r="C464" s="14">
        <v>70</v>
      </c>
      <c r="D464" s="14">
        <v>35.299999999999997</v>
      </c>
      <c r="E464" s="14">
        <v>0.70499999999999996</v>
      </c>
      <c r="F464" s="14">
        <v>39</v>
      </c>
      <c r="G464" s="14">
        <v>0</v>
      </c>
      <c r="H464" s="14">
        <v>74</v>
      </c>
      <c r="I464" s="14"/>
    </row>
    <row r="465" spans="1:9" x14ac:dyDescent="0.3">
      <c r="A465" s="14">
        <v>5</v>
      </c>
      <c r="B465" s="14">
        <v>88</v>
      </c>
      <c r="C465" s="14">
        <v>78</v>
      </c>
      <c r="D465" s="14">
        <v>27.6</v>
      </c>
      <c r="E465" s="14">
        <v>0.25800000000000001</v>
      </c>
      <c r="F465" s="14">
        <v>37</v>
      </c>
      <c r="G465" s="14">
        <v>0</v>
      </c>
      <c r="H465" s="14">
        <v>88</v>
      </c>
      <c r="I465" s="14"/>
    </row>
    <row r="466" spans="1:9" x14ac:dyDescent="0.3">
      <c r="A466" s="14">
        <v>10</v>
      </c>
      <c r="B466" s="14">
        <v>115</v>
      </c>
      <c r="C466" s="14">
        <v>98</v>
      </c>
      <c r="D466" s="14">
        <v>24</v>
      </c>
      <c r="E466" s="14">
        <v>1.022</v>
      </c>
      <c r="F466" s="14">
        <v>34</v>
      </c>
      <c r="G466" s="14">
        <v>0</v>
      </c>
      <c r="H466" s="14">
        <v>115</v>
      </c>
      <c r="I466" s="14"/>
    </row>
    <row r="467" spans="1:9" x14ac:dyDescent="0.3">
      <c r="A467" s="14">
        <v>0</v>
      </c>
      <c r="B467" s="14">
        <v>124</v>
      </c>
      <c r="C467" s="14">
        <v>56</v>
      </c>
      <c r="D467" s="14">
        <v>21.8</v>
      </c>
      <c r="E467" s="14">
        <v>0.45200000000000001</v>
      </c>
      <c r="F467" s="14">
        <v>21</v>
      </c>
      <c r="G467" s="14">
        <v>0</v>
      </c>
      <c r="H467" s="14">
        <v>124</v>
      </c>
      <c r="I467" s="14"/>
    </row>
    <row r="468" spans="1:9" x14ac:dyDescent="0.3">
      <c r="A468" s="14">
        <v>0</v>
      </c>
      <c r="B468" s="14">
        <v>74</v>
      </c>
      <c r="C468" s="14">
        <v>52</v>
      </c>
      <c r="D468" s="14">
        <v>27.8</v>
      </c>
      <c r="E468" s="14">
        <v>0.26900000000000002</v>
      </c>
      <c r="F468" s="14">
        <v>22</v>
      </c>
      <c r="G468" s="14">
        <v>0</v>
      </c>
      <c r="H468" s="14">
        <v>74</v>
      </c>
      <c r="I468" s="14"/>
    </row>
    <row r="469" spans="1:9" x14ac:dyDescent="0.3">
      <c r="A469" s="14">
        <v>0</v>
      </c>
      <c r="B469" s="14">
        <v>97</v>
      </c>
      <c r="C469" s="14">
        <v>64</v>
      </c>
      <c r="D469" s="14">
        <v>36.799999999999997</v>
      </c>
      <c r="E469" s="14">
        <v>0.6</v>
      </c>
      <c r="F469" s="14">
        <v>25</v>
      </c>
      <c r="G469" s="14">
        <v>0</v>
      </c>
      <c r="H469" s="14">
        <v>97</v>
      </c>
      <c r="I469" s="14"/>
    </row>
    <row r="470" spans="1:9" x14ac:dyDescent="0.3">
      <c r="A470" s="14">
        <v>8</v>
      </c>
      <c r="B470" s="14">
        <v>120</v>
      </c>
      <c r="C470" s="14">
        <v>72</v>
      </c>
      <c r="D470" s="14">
        <v>30</v>
      </c>
      <c r="E470" s="14">
        <v>0.183</v>
      </c>
      <c r="F470" s="14">
        <v>38</v>
      </c>
      <c r="G470" s="14">
        <v>1</v>
      </c>
      <c r="H470" s="14" t="s">
        <v>36</v>
      </c>
      <c r="I470" s="14">
        <v>120</v>
      </c>
    </row>
    <row r="471" spans="1:9" x14ac:dyDescent="0.3">
      <c r="A471" s="14">
        <v>6</v>
      </c>
      <c r="B471" s="14">
        <v>154</v>
      </c>
      <c r="C471" s="14">
        <v>78</v>
      </c>
      <c r="D471" s="14">
        <v>46.1</v>
      </c>
      <c r="E471" s="14">
        <v>0.57099999999999995</v>
      </c>
      <c r="F471" s="14">
        <v>27</v>
      </c>
      <c r="G471" s="14">
        <v>0</v>
      </c>
      <c r="H471" s="14">
        <v>154</v>
      </c>
      <c r="I471" s="14"/>
    </row>
    <row r="472" spans="1:9" x14ac:dyDescent="0.3">
      <c r="A472" s="14">
        <v>1</v>
      </c>
      <c r="B472" s="14">
        <v>144</v>
      </c>
      <c r="C472" s="14">
        <v>82</v>
      </c>
      <c r="D472" s="14">
        <v>41.3</v>
      </c>
      <c r="E472" s="14">
        <v>0.60699999999999998</v>
      </c>
      <c r="F472" s="14">
        <v>28</v>
      </c>
      <c r="G472" s="14">
        <v>0</v>
      </c>
      <c r="H472" s="14">
        <v>144</v>
      </c>
      <c r="I472" s="14"/>
    </row>
    <row r="473" spans="1:9" x14ac:dyDescent="0.3">
      <c r="A473" s="14">
        <v>0</v>
      </c>
      <c r="B473" s="14">
        <v>137</v>
      </c>
      <c r="C473" s="14">
        <v>70</v>
      </c>
      <c r="D473" s="14">
        <v>33.200000000000003</v>
      </c>
      <c r="E473" s="14">
        <v>0.17</v>
      </c>
      <c r="F473" s="14">
        <v>22</v>
      </c>
      <c r="G473" s="14">
        <v>0</v>
      </c>
      <c r="H473" s="14">
        <v>137</v>
      </c>
      <c r="I473" s="14"/>
    </row>
    <row r="474" spans="1:9" x14ac:dyDescent="0.3">
      <c r="A474" s="14">
        <v>0</v>
      </c>
      <c r="B474" s="14">
        <v>119</v>
      </c>
      <c r="C474" s="14">
        <v>66</v>
      </c>
      <c r="D474" s="14">
        <v>38.799999999999997</v>
      </c>
      <c r="E474" s="14">
        <v>0.25900000000000001</v>
      </c>
      <c r="F474" s="14">
        <v>22</v>
      </c>
      <c r="G474" s="14">
        <v>0</v>
      </c>
      <c r="H474" s="14">
        <v>119</v>
      </c>
      <c r="I474" s="14"/>
    </row>
    <row r="475" spans="1:9" x14ac:dyDescent="0.3">
      <c r="A475" s="14">
        <v>7</v>
      </c>
      <c r="B475" s="14">
        <v>136</v>
      </c>
      <c r="C475" s="14">
        <v>90</v>
      </c>
      <c r="D475" s="14">
        <v>29.9</v>
      </c>
      <c r="E475" s="14">
        <v>0.21</v>
      </c>
      <c r="F475" s="14">
        <v>50</v>
      </c>
      <c r="G475" s="14">
        <v>0</v>
      </c>
      <c r="H475" s="14">
        <v>136</v>
      </c>
      <c r="I475" s="14"/>
    </row>
    <row r="476" spans="1:9" x14ac:dyDescent="0.3">
      <c r="A476" s="14">
        <v>4</v>
      </c>
      <c r="B476" s="14">
        <v>114</v>
      </c>
      <c r="C476" s="14">
        <v>64</v>
      </c>
      <c r="D476" s="14">
        <v>28.9</v>
      </c>
      <c r="E476" s="14">
        <v>0.126</v>
      </c>
      <c r="F476" s="14">
        <v>24</v>
      </c>
      <c r="G476" s="14">
        <v>0</v>
      </c>
      <c r="H476" s="14">
        <v>114</v>
      </c>
      <c r="I476" s="14"/>
    </row>
    <row r="477" spans="1:9" x14ac:dyDescent="0.3">
      <c r="A477" s="14">
        <v>0</v>
      </c>
      <c r="B477" s="14">
        <v>137</v>
      </c>
      <c r="C477" s="14">
        <v>84</v>
      </c>
      <c r="D477" s="14">
        <v>27.3</v>
      </c>
      <c r="E477" s="14">
        <v>0.23100000000000001</v>
      </c>
      <c r="F477" s="14">
        <v>59</v>
      </c>
      <c r="G477" s="14">
        <v>0</v>
      </c>
      <c r="H477" s="14">
        <v>137</v>
      </c>
      <c r="I477" s="14"/>
    </row>
    <row r="478" spans="1:9" x14ac:dyDescent="0.3">
      <c r="A478" s="14">
        <v>2</v>
      </c>
      <c r="B478" s="14">
        <v>105</v>
      </c>
      <c r="C478" s="14">
        <v>80</v>
      </c>
      <c r="D478" s="14">
        <v>33.700000000000003</v>
      </c>
      <c r="E478" s="14">
        <v>0.71099999999999997</v>
      </c>
      <c r="F478" s="14">
        <v>29</v>
      </c>
      <c r="G478" s="14">
        <v>1</v>
      </c>
      <c r="H478" s="14" t="s">
        <v>36</v>
      </c>
      <c r="I478" s="14">
        <v>105</v>
      </c>
    </row>
    <row r="479" spans="1:9" x14ac:dyDescent="0.3">
      <c r="A479" s="14">
        <v>7</v>
      </c>
      <c r="B479" s="14">
        <v>114</v>
      </c>
      <c r="C479" s="14">
        <v>76</v>
      </c>
      <c r="D479" s="14">
        <v>23.8</v>
      </c>
      <c r="E479" s="14">
        <v>0.46600000000000003</v>
      </c>
      <c r="F479" s="14">
        <v>31</v>
      </c>
      <c r="G479" s="14">
        <v>0</v>
      </c>
      <c r="H479" s="14">
        <v>114</v>
      </c>
      <c r="I479" s="14"/>
    </row>
    <row r="480" spans="1:9" x14ac:dyDescent="0.3">
      <c r="A480" s="14">
        <v>8</v>
      </c>
      <c r="B480" s="14">
        <v>126</v>
      </c>
      <c r="C480" s="14">
        <v>74</v>
      </c>
      <c r="D480" s="14">
        <v>25.9</v>
      </c>
      <c r="E480" s="14">
        <v>0.16200000000000001</v>
      </c>
      <c r="F480" s="14">
        <v>39</v>
      </c>
      <c r="G480" s="14">
        <v>0</v>
      </c>
      <c r="H480" s="14">
        <v>126</v>
      </c>
      <c r="I480" s="14"/>
    </row>
    <row r="481" spans="1:9" x14ac:dyDescent="0.3">
      <c r="A481" s="14">
        <v>4</v>
      </c>
      <c r="B481" s="14">
        <v>132</v>
      </c>
      <c r="C481" s="14">
        <v>86</v>
      </c>
      <c r="D481" s="14">
        <v>28</v>
      </c>
      <c r="E481" s="14">
        <v>0.41899999999999998</v>
      </c>
      <c r="F481" s="14">
        <v>63</v>
      </c>
      <c r="G481" s="14">
        <v>0</v>
      </c>
      <c r="H481" s="14">
        <v>132</v>
      </c>
      <c r="I481" s="14"/>
    </row>
    <row r="482" spans="1:9" x14ac:dyDescent="0.3">
      <c r="A482" s="14">
        <v>3</v>
      </c>
      <c r="B482" s="14">
        <v>158</v>
      </c>
      <c r="C482" s="14">
        <v>70</v>
      </c>
      <c r="D482" s="14">
        <v>35.5</v>
      </c>
      <c r="E482" s="14">
        <v>0.34399999999999997</v>
      </c>
      <c r="F482" s="14">
        <v>35</v>
      </c>
      <c r="G482" s="14">
        <v>1</v>
      </c>
      <c r="H482" s="14" t="s">
        <v>36</v>
      </c>
      <c r="I482" s="14">
        <v>158</v>
      </c>
    </row>
    <row r="483" spans="1:9" x14ac:dyDescent="0.3">
      <c r="A483" s="14">
        <v>0</v>
      </c>
      <c r="B483" s="14">
        <v>123</v>
      </c>
      <c r="C483" s="14">
        <v>88</v>
      </c>
      <c r="D483" s="14">
        <v>35.200000000000003</v>
      </c>
      <c r="E483" s="14">
        <v>0.19700000000000001</v>
      </c>
      <c r="F483" s="14">
        <v>29</v>
      </c>
      <c r="G483" s="14">
        <v>0</v>
      </c>
      <c r="H483" s="14">
        <v>123</v>
      </c>
      <c r="I483" s="14"/>
    </row>
    <row r="484" spans="1:9" x14ac:dyDescent="0.3">
      <c r="A484" s="14">
        <v>4</v>
      </c>
      <c r="B484" s="14">
        <v>85</v>
      </c>
      <c r="C484" s="14">
        <v>58</v>
      </c>
      <c r="D484" s="14">
        <v>27.8</v>
      </c>
      <c r="E484" s="14">
        <v>0.30599999999999999</v>
      </c>
      <c r="F484" s="14">
        <v>28</v>
      </c>
      <c r="G484" s="14">
        <v>0</v>
      </c>
      <c r="H484" s="14">
        <v>85</v>
      </c>
      <c r="I484" s="14"/>
    </row>
    <row r="485" spans="1:9" x14ac:dyDescent="0.3">
      <c r="A485" s="14">
        <v>0</v>
      </c>
      <c r="B485" s="14">
        <v>84</v>
      </c>
      <c r="C485" s="14">
        <v>82</v>
      </c>
      <c r="D485" s="14">
        <v>38.200000000000003</v>
      </c>
      <c r="E485" s="14">
        <v>0.23300000000000001</v>
      </c>
      <c r="F485" s="14">
        <v>23</v>
      </c>
      <c r="G485" s="14">
        <v>0</v>
      </c>
      <c r="H485" s="14">
        <v>84</v>
      </c>
      <c r="I485" s="14"/>
    </row>
    <row r="486" spans="1:9" x14ac:dyDescent="0.3">
      <c r="A486" s="14">
        <v>0</v>
      </c>
      <c r="B486" s="14">
        <v>145</v>
      </c>
      <c r="C486" s="14">
        <v>72</v>
      </c>
      <c r="D486" s="14">
        <v>44.2</v>
      </c>
      <c r="E486" s="14">
        <v>0.63</v>
      </c>
      <c r="F486" s="14">
        <v>31</v>
      </c>
      <c r="G486" s="14">
        <v>1</v>
      </c>
      <c r="H486" s="14" t="s">
        <v>36</v>
      </c>
      <c r="I486" s="14">
        <v>145</v>
      </c>
    </row>
    <row r="487" spans="1:9" x14ac:dyDescent="0.3">
      <c r="A487" s="14">
        <v>0</v>
      </c>
      <c r="B487" s="14">
        <v>135</v>
      </c>
      <c r="C487" s="14">
        <v>68</v>
      </c>
      <c r="D487" s="14">
        <v>42.3</v>
      </c>
      <c r="E487" s="14">
        <v>0.36499999999999999</v>
      </c>
      <c r="F487" s="14">
        <v>24</v>
      </c>
      <c r="G487" s="14">
        <v>1</v>
      </c>
      <c r="H487" s="14" t="s">
        <v>36</v>
      </c>
      <c r="I487" s="14">
        <v>135</v>
      </c>
    </row>
    <row r="488" spans="1:9" x14ac:dyDescent="0.3">
      <c r="A488" s="14">
        <v>1</v>
      </c>
      <c r="B488" s="14">
        <v>139</v>
      </c>
      <c r="C488" s="14">
        <v>62</v>
      </c>
      <c r="D488" s="14">
        <v>40.700000000000003</v>
      </c>
      <c r="E488" s="14">
        <v>0.53600000000000003</v>
      </c>
      <c r="F488" s="14">
        <v>21</v>
      </c>
      <c r="G488" s="14">
        <v>0</v>
      </c>
      <c r="H488" s="14">
        <v>139</v>
      </c>
      <c r="I488" s="14"/>
    </row>
    <row r="489" spans="1:9" x14ac:dyDescent="0.3">
      <c r="A489" s="14">
        <v>0</v>
      </c>
      <c r="B489" s="14">
        <v>173</v>
      </c>
      <c r="C489" s="14">
        <v>78</v>
      </c>
      <c r="D489" s="14">
        <v>46.5</v>
      </c>
      <c r="E489" s="14">
        <v>1.159</v>
      </c>
      <c r="F489" s="14">
        <v>58</v>
      </c>
      <c r="G489" s="14">
        <v>0</v>
      </c>
      <c r="H489" s="14">
        <v>173</v>
      </c>
      <c r="I489" s="14"/>
    </row>
    <row r="490" spans="1:9" x14ac:dyDescent="0.3">
      <c r="A490" s="14">
        <v>4</v>
      </c>
      <c r="B490" s="14">
        <v>99</v>
      </c>
      <c r="C490" s="14">
        <v>72</v>
      </c>
      <c r="D490" s="14">
        <v>25.6</v>
      </c>
      <c r="E490" s="14">
        <v>0.29399999999999998</v>
      </c>
      <c r="F490" s="14">
        <v>28</v>
      </c>
      <c r="G490" s="14">
        <v>0</v>
      </c>
      <c r="H490" s="14">
        <v>99</v>
      </c>
      <c r="I490" s="14"/>
    </row>
    <row r="491" spans="1:9" x14ac:dyDescent="0.3">
      <c r="A491" s="14">
        <v>8</v>
      </c>
      <c r="B491" s="14">
        <v>194</v>
      </c>
      <c r="C491" s="14">
        <v>80</v>
      </c>
      <c r="D491" s="14">
        <v>26.1</v>
      </c>
      <c r="E491" s="14">
        <v>0.55100000000000005</v>
      </c>
      <c r="F491" s="14">
        <v>67</v>
      </c>
      <c r="G491" s="14">
        <v>0</v>
      </c>
      <c r="H491" s="14">
        <v>194</v>
      </c>
      <c r="I491" s="14"/>
    </row>
    <row r="492" spans="1:9" x14ac:dyDescent="0.3">
      <c r="A492" s="14">
        <v>2</v>
      </c>
      <c r="B492" s="14">
        <v>83</v>
      </c>
      <c r="C492" s="14">
        <v>65</v>
      </c>
      <c r="D492" s="14">
        <v>36.799999999999997</v>
      </c>
      <c r="E492" s="14">
        <v>0.629</v>
      </c>
      <c r="F492" s="14">
        <v>24</v>
      </c>
      <c r="G492" s="14">
        <v>0</v>
      </c>
      <c r="H492" s="14">
        <v>83</v>
      </c>
      <c r="I492" s="14"/>
    </row>
    <row r="493" spans="1:9" x14ac:dyDescent="0.3">
      <c r="A493" s="14">
        <v>2</v>
      </c>
      <c r="B493" s="14">
        <v>89</v>
      </c>
      <c r="C493" s="14">
        <v>90</v>
      </c>
      <c r="D493" s="14">
        <v>33.5</v>
      </c>
      <c r="E493" s="14">
        <v>0.29199999999999998</v>
      </c>
      <c r="F493" s="14">
        <v>42</v>
      </c>
      <c r="G493" s="14">
        <v>0</v>
      </c>
      <c r="H493" s="14">
        <v>89</v>
      </c>
      <c r="I493" s="14"/>
    </row>
    <row r="494" spans="1:9" x14ac:dyDescent="0.3">
      <c r="A494" s="14">
        <v>4</v>
      </c>
      <c r="B494" s="14">
        <v>99</v>
      </c>
      <c r="C494" s="14">
        <v>68</v>
      </c>
      <c r="D494" s="14">
        <v>32.799999999999997</v>
      </c>
      <c r="E494" s="14">
        <v>0.14499999999999999</v>
      </c>
      <c r="F494" s="14">
        <v>33</v>
      </c>
      <c r="G494" s="14">
        <v>0</v>
      </c>
      <c r="H494" s="14">
        <v>99</v>
      </c>
      <c r="I494" s="14"/>
    </row>
    <row r="495" spans="1:9" x14ac:dyDescent="0.3">
      <c r="A495" s="14">
        <v>4</v>
      </c>
      <c r="B495" s="14">
        <v>125</v>
      </c>
      <c r="C495" s="14">
        <v>70</v>
      </c>
      <c r="D495" s="14">
        <v>28.9</v>
      </c>
      <c r="E495" s="14">
        <v>1.1439999999999999</v>
      </c>
      <c r="F495" s="14">
        <v>45</v>
      </c>
      <c r="G495" s="14">
        <v>1</v>
      </c>
      <c r="H495" s="14" t="s">
        <v>36</v>
      </c>
      <c r="I495" s="14">
        <v>125</v>
      </c>
    </row>
    <row r="496" spans="1:9" x14ac:dyDescent="0.3">
      <c r="A496" s="14">
        <v>3</v>
      </c>
      <c r="B496" s="14">
        <v>80</v>
      </c>
      <c r="C496" s="14">
        <v>72</v>
      </c>
      <c r="D496" s="14">
        <v>32</v>
      </c>
      <c r="E496" s="14">
        <v>0.17399999999999999</v>
      </c>
      <c r="F496" s="14">
        <v>22</v>
      </c>
      <c r="G496" s="14">
        <v>0</v>
      </c>
      <c r="H496" s="14">
        <v>80</v>
      </c>
      <c r="I496" s="14"/>
    </row>
    <row r="497" spans="1:9" x14ac:dyDescent="0.3">
      <c r="A497" s="14">
        <v>6</v>
      </c>
      <c r="B497" s="14">
        <v>166</v>
      </c>
      <c r="C497" s="14">
        <v>74</v>
      </c>
      <c r="D497" s="14">
        <v>26.6</v>
      </c>
      <c r="E497" s="14">
        <v>0.30399999999999999</v>
      </c>
      <c r="F497" s="14">
        <v>66</v>
      </c>
      <c r="G497" s="14">
        <v>0</v>
      </c>
      <c r="H497" s="14">
        <v>166</v>
      </c>
      <c r="I497" s="14"/>
    </row>
    <row r="498" spans="1:9" x14ac:dyDescent="0.3">
      <c r="A498" s="14">
        <v>5</v>
      </c>
      <c r="B498" s="14">
        <v>110</v>
      </c>
      <c r="C498" s="14">
        <v>68</v>
      </c>
      <c r="D498" s="14">
        <v>26</v>
      </c>
      <c r="E498" s="14">
        <v>0.29199999999999998</v>
      </c>
      <c r="F498" s="14">
        <v>30</v>
      </c>
      <c r="G498" s="14">
        <v>0</v>
      </c>
      <c r="H498" s="14">
        <v>110</v>
      </c>
      <c r="I498" s="14"/>
    </row>
    <row r="499" spans="1:9" x14ac:dyDescent="0.3">
      <c r="A499" s="14">
        <v>2</v>
      </c>
      <c r="B499" s="14">
        <v>81</v>
      </c>
      <c r="C499" s="14">
        <v>72</v>
      </c>
      <c r="D499" s="14">
        <v>30.1</v>
      </c>
      <c r="E499" s="14">
        <v>0.54700000000000004</v>
      </c>
      <c r="F499" s="14">
        <v>25</v>
      </c>
      <c r="G499" s="14">
        <v>0</v>
      </c>
      <c r="H499" s="14">
        <v>81</v>
      </c>
      <c r="I499" s="14"/>
    </row>
    <row r="500" spans="1:9" x14ac:dyDescent="0.3">
      <c r="A500" s="14">
        <v>7</v>
      </c>
      <c r="B500" s="14">
        <v>195</v>
      </c>
      <c r="C500" s="14">
        <v>70</v>
      </c>
      <c r="D500" s="14">
        <v>25.1</v>
      </c>
      <c r="E500" s="14">
        <v>0.16300000000000001</v>
      </c>
      <c r="F500" s="14">
        <v>55</v>
      </c>
      <c r="G500" s="14">
        <v>1</v>
      </c>
      <c r="H500" s="14" t="s">
        <v>36</v>
      </c>
      <c r="I500" s="14">
        <v>195</v>
      </c>
    </row>
    <row r="501" spans="1:9" x14ac:dyDescent="0.3">
      <c r="A501" s="14">
        <v>6</v>
      </c>
      <c r="B501" s="14">
        <v>154</v>
      </c>
      <c r="C501" s="14">
        <v>74</v>
      </c>
      <c r="D501" s="14">
        <v>29.3</v>
      </c>
      <c r="E501" s="14">
        <v>0.83899999999999997</v>
      </c>
      <c r="F501" s="14">
        <v>39</v>
      </c>
      <c r="G501" s="14">
        <v>0</v>
      </c>
      <c r="H501" s="14">
        <v>154</v>
      </c>
      <c r="I501" s="14"/>
    </row>
    <row r="502" spans="1:9" x14ac:dyDescent="0.3">
      <c r="A502" s="14">
        <v>2</v>
      </c>
      <c r="B502" s="14">
        <v>117</v>
      </c>
      <c r="C502" s="14">
        <v>90</v>
      </c>
      <c r="D502" s="14">
        <v>25.2</v>
      </c>
      <c r="E502" s="14">
        <v>0.313</v>
      </c>
      <c r="F502" s="14">
        <v>21</v>
      </c>
      <c r="G502" s="14">
        <v>0</v>
      </c>
      <c r="H502" s="14">
        <v>117</v>
      </c>
      <c r="I502" s="14"/>
    </row>
    <row r="503" spans="1:9" x14ac:dyDescent="0.3">
      <c r="A503" s="14">
        <v>3</v>
      </c>
      <c r="B503" s="14">
        <v>84</v>
      </c>
      <c r="C503" s="14">
        <v>72</v>
      </c>
      <c r="D503" s="14">
        <v>37.200000000000003</v>
      </c>
      <c r="E503" s="14">
        <v>0.26700000000000002</v>
      </c>
      <c r="F503" s="14">
        <v>28</v>
      </c>
      <c r="G503" s="14">
        <v>0</v>
      </c>
      <c r="H503" s="14">
        <v>84</v>
      </c>
      <c r="I503" s="14"/>
    </row>
    <row r="504" spans="1:9" x14ac:dyDescent="0.3">
      <c r="A504" s="14">
        <v>6</v>
      </c>
      <c r="B504" s="14">
        <v>117</v>
      </c>
      <c r="C504" s="14">
        <v>68</v>
      </c>
      <c r="D504" s="14">
        <v>39</v>
      </c>
      <c r="E504" s="14">
        <v>0.72699999999999998</v>
      </c>
      <c r="F504" s="14">
        <v>41</v>
      </c>
      <c r="G504" s="14">
        <v>1</v>
      </c>
      <c r="H504" s="14" t="s">
        <v>36</v>
      </c>
      <c r="I504" s="14">
        <v>117</v>
      </c>
    </row>
    <row r="505" spans="1:9" x14ac:dyDescent="0.3">
      <c r="A505" s="14">
        <v>7</v>
      </c>
      <c r="B505" s="14">
        <v>94</v>
      </c>
      <c r="C505" s="14">
        <v>64</v>
      </c>
      <c r="D505" s="14">
        <v>33.299999999999997</v>
      </c>
      <c r="E505" s="14">
        <v>0.73799999999999999</v>
      </c>
      <c r="F505" s="14">
        <v>41</v>
      </c>
      <c r="G505" s="14">
        <v>0</v>
      </c>
      <c r="H505" s="14">
        <v>94</v>
      </c>
      <c r="I505" s="14"/>
    </row>
    <row r="506" spans="1:9" x14ac:dyDescent="0.3">
      <c r="A506" s="14">
        <v>3</v>
      </c>
      <c r="B506" s="14">
        <v>96</v>
      </c>
      <c r="C506" s="14">
        <v>78</v>
      </c>
      <c r="D506" s="14">
        <v>37.299999999999997</v>
      </c>
      <c r="E506" s="14">
        <v>0.23799999999999999</v>
      </c>
      <c r="F506" s="14">
        <v>40</v>
      </c>
      <c r="G506" s="14">
        <v>0</v>
      </c>
      <c r="H506" s="14">
        <v>96</v>
      </c>
      <c r="I506" s="14"/>
    </row>
    <row r="507" spans="1:9" x14ac:dyDescent="0.3">
      <c r="A507" s="14">
        <v>10</v>
      </c>
      <c r="B507" s="14">
        <v>75</v>
      </c>
      <c r="C507" s="14">
        <v>82</v>
      </c>
      <c r="D507" s="14">
        <v>33.299999999999997</v>
      </c>
      <c r="E507" s="14">
        <v>0.26300000000000001</v>
      </c>
      <c r="F507" s="14">
        <v>38</v>
      </c>
      <c r="G507" s="14">
        <v>0</v>
      </c>
      <c r="H507" s="14">
        <v>75</v>
      </c>
      <c r="I507" s="14"/>
    </row>
    <row r="508" spans="1:9" x14ac:dyDescent="0.3">
      <c r="A508" s="14">
        <v>0</v>
      </c>
      <c r="B508" s="14">
        <v>180</v>
      </c>
      <c r="C508" s="14">
        <v>90</v>
      </c>
      <c r="D508" s="14">
        <v>36.5</v>
      </c>
      <c r="E508" s="14">
        <v>0.314</v>
      </c>
      <c r="F508" s="14">
        <v>35</v>
      </c>
      <c r="G508" s="14">
        <v>1</v>
      </c>
      <c r="H508" s="14" t="s">
        <v>36</v>
      </c>
      <c r="I508" s="14">
        <v>180</v>
      </c>
    </row>
    <row r="509" spans="1:9" x14ac:dyDescent="0.3">
      <c r="A509" s="14">
        <v>1</v>
      </c>
      <c r="B509" s="14">
        <v>130</v>
      </c>
      <c r="C509" s="14">
        <v>60</v>
      </c>
      <c r="D509" s="14">
        <v>28.6</v>
      </c>
      <c r="E509" s="14">
        <v>0.69199999999999995</v>
      </c>
      <c r="F509" s="14">
        <v>21</v>
      </c>
      <c r="G509" s="14">
        <v>0</v>
      </c>
      <c r="H509" s="14">
        <v>130</v>
      </c>
      <c r="I509" s="14"/>
    </row>
    <row r="510" spans="1:9" x14ac:dyDescent="0.3">
      <c r="A510" s="14">
        <v>2</v>
      </c>
      <c r="B510" s="14">
        <v>84</v>
      </c>
      <c r="C510" s="14">
        <v>50</v>
      </c>
      <c r="D510" s="14">
        <v>30.4</v>
      </c>
      <c r="E510" s="14">
        <v>0.96799999999999997</v>
      </c>
      <c r="F510" s="14">
        <v>21</v>
      </c>
      <c r="G510" s="14">
        <v>0</v>
      </c>
      <c r="H510" s="14">
        <v>84</v>
      </c>
      <c r="I510" s="14"/>
    </row>
    <row r="511" spans="1:9" x14ac:dyDescent="0.3">
      <c r="A511" s="14">
        <v>8</v>
      </c>
      <c r="B511" s="14">
        <v>120</v>
      </c>
      <c r="C511" s="14">
        <v>78</v>
      </c>
      <c r="D511" s="14">
        <v>25</v>
      </c>
      <c r="E511" s="14">
        <v>0.40899999999999997</v>
      </c>
      <c r="F511" s="14">
        <v>64</v>
      </c>
      <c r="G511" s="14">
        <v>0</v>
      </c>
      <c r="H511" s="14">
        <v>120</v>
      </c>
      <c r="I511" s="14"/>
    </row>
    <row r="512" spans="1:9" x14ac:dyDescent="0.3">
      <c r="A512" s="14">
        <v>12</v>
      </c>
      <c r="B512" s="14">
        <v>84</v>
      </c>
      <c r="C512" s="14">
        <v>72</v>
      </c>
      <c r="D512" s="14">
        <v>29.7</v>
      </c>
      <c r="E512" s="14">
        <v>0.29699999999999999</v>
      </c>
      <c r="F512" s="14">
        <v>46</v>
      </c>
      <c r="G512" s="14">
        <v>1</v>
      </c>
      <c r="H512" s="14" t="s">
        <v>36</v>
      </c>
      <c r="I512" s="14">
        <v>84</v>
      </c>
    </row>
    <row r="513" spans="1:9" x14ac:dyDescent="0.3">
      <c r="A513" s="14">
        <v>0</v>
      </c>
      <c r="B513" s="14">
        <v>139</v>
      </c>
      <c r="C513" s="14">
        <v>62</v>
      </c>
      <c r="D513" s="14">
        <v>22.1</v>
      </c>
      <c r="E513" s="14">
        <v>0.20699999999999999</v>
      </c>
      <c r="F513" s="14">
        <v>21</v>
      </c>
      <c r="G513" s="14">
        <v>0</v>
      </c>
      <c r="H513" s="14">
        <v>139</v>
      </c>
      <c r="I513" s="14"/>
    </row>
    <row r="514" spans="1:9" x14ac:dyDescent="0.3">
      <c r="A514" s="14">
        <v>9</v>
      </c>
      <c r="B514" s="14">
        <v>91</v>
      </c>
      <c r="C514" s="14">
        <v>68</v>
      </c>
      <c r="D514" s="14">
        <v>24.2</v>
      </c>
      <c r="E514" s="14">
        <v>0.2</v>
      </c>
      <c r="F514" s="14">
        <v>58</v>
      </c>
      <c r="G514" s="14">
        <v>0</v>
      </c>
      <c r="H514" s="14">
        <v>91</v>
      </c>
      <c r="I514" s="14"/>
    </row>
    <row r="515" spans="1:9" x14ac:dyDescent="0.3">
      <c r="A515" s="14">
        <v>2</v>
      </c>
      <c r="B515" s="14">
        <v>91</v>
      </c>
      <c r="C515" s="14">
        <v>62</v>
      </c>
      <c r="D515" s="14">
        <v>27.3</v>
      </c>
      <c r="E515" s="14">
        <v>0.52500000000000002</v>
      </c>
      <c r="F515" s="14">
        <v>22</v>
      </c>
      <c r="G515" s="14">
        <v>0</v>
      </c>
      <c r="H515" s="14">
        <v>91</v>
      </c>
      <c r="I515" s="14"/>
    </row>
    <row r="516" spans="1:9" x14ac:dyDescent="0.3">
      <c r="A516" s="14">
        <v>3</v>
      </c>
      <c r="B516" s="14">
        <v>99</v>
      </c>
      <c r="C516" s="14">
        <v>54</v>
      </c>
      <c r="D516" s="14">
        <v>25.6</v>
      </c>
      <c r="E516" s="14">
        <v>0.154</v>
      </c>
      <c r="F516" s="14">
        <v>24</v>
      </c>
      <c r="G516" s="14">
        <v>0</v>
      </c>
      <c r="H516" s="14">
        <v>99</v>
      </c>
      <c r="I516" s="14"/>
    </row>
    <row r="517" spans="1:9" x14ac:dyDescent="0.3">
      <c r="A517" s="14">
        <v>3</v>
      </c>
      <c r="B517" s="14">
        <v>163</v>
      </c>
      <c r="C517" s="14">
        <v>70</v>
      </c>
      <c r="D517" s="14">
        <v>31.6</v>
      </c>
      <c r="E517" s="14">
        <v>0.26800000000000002</v>
      </c>
      <c r="F517" s="14">
        <v>28</v>
      </c>
      <c r="G517" s="14">
        <v>1</v>
      </c>
      <c r="H517" s="14" t="s">
        <v>36</v>
      </c>
      <c r="I517" s="14">
        <v>163</v>
      </c>
    </row>
    <row r="518" spans="1:9" x14ac:dyDescent="0.3">
      <c r="A518" s="14">
        <v>9</v>
      </c>
      <c r="B518" s="14">
        <v>145</v>
      </c>
      <c r="C518" s="14">
        <v>88</v>
      </c>
      <c r="D518" s="14">
        <v>30.3</v>
      </c>
      <c r="E518" s="14">
        <v>0.77100000000000002</v>
      </c>
      <c r="F518" s="14">
        <v>53</v>
      </c>
      <c r="G518" s="14">
        <v>1</v>
      </c>
      <c r="H518" s="14" t="s">
        <v>36</v>
      </c>
      <c r="I518" s="14">
        <v>145</v>
      </c>
    </row>
    <row r="519" spans="1:9" x14ac:dyDescent="0.3">
      <c r="A519" s="14">
        <v>7</v>
      </c>
      <c r="B519" s="14">
        <v>125</v>
      </c>
      <c r="C519" s="14">
        <v>86</v>
      </c>
      <c r="D519" s="14">
        <v>37.6</v>
      </c>
      <c r="E519" s="14">
        <v>0.30399999999999999</v>
      </c>
      <c r="F519" s="14">
        <v>51</v>
      </c>
      <c r="G519" s="14">
        <v>0</v>
      </c>
      <c r="H519" s="14">
        <v>125</v>
      </c>
      <c r="I519" s="14"/>
    </row>
    <row r="520" spans="1:9" x14ac:dyDescent="0.3">
      <c r="A520" s="14">
        <v>13</v>
      </c>
      <c r="B520" s="14">
        <v>76</v>
      </c>
      <c r="C520" s="14">
        <v>60</v>
      </c>
      <c r="D520" s="14">
        <v>32.799999999999997</v>
      </c>
      <c r="E520" s="14">
        <v>0.18</v>
      </c>
      <c r="F520" s="14">
        <v>41</v>
      </c>
      <c r="G520" s="14">
        <v>0</v>
      </c>
      <c r="H520" s="14">
        <v>76</v>
      </c>
      <c r="I520" s="14"/>
    </row>
    <row r="521" spans="1:9" x14ac:dyDescent="0.3">
      <c r="A521" s="14">
        <v>6</v>
      </c>
      <c r="B521" s="14">
        <v>129</v>
      </c>
      <c r="C521" s="14">
        <v>90</v>
      </c>
      <c r="D521" s="14">
        <v>19.600000000000001</v>
      </c>
      <c r="E521" s="14">
        <v>0.58199999999999996</v>
      </c>
      <c r="F521" s="14">
        <v>60</v>
      </c>
      <c r="G521" s="14">
        <v>0</v>
      </c>
      <c r="H521" s="14">
        <v>129</v>
      </c>
      <c r="I521" s="14"/>
    </row>
    <row r="522" spans="1:9" x14ac:dyDescent="0.3">
      <c r="A522" s="14">
        <v>2</v>
      </c>
      <c r="B522" s="14">
        <v>68</v>
      </c>
      <c r="C522" s="14">
        <v>70</v>
      </c>
      <c r="D522" s="14">
        <v>25</v>
      </c>
      <c r="E522" s="14">
        <v>0.187</v>
      </c>
      <c r="F522" s="14">
        <v>25</v>
      </c>
      <c r="G522" s="14">
        <v>0</v>
      </c>
      <c r="H522" s="14">
        <v>68</v>
      </c>
      <c r="I522" s="14"/>
    </row>
    <row r="523" spans="1:9" x14ac:dyDescent="0.3">
      <c r="A523" s="14">
        <v>3</v>
      </c>
      <c r="B523" s="14">
        <v>124</v>
      </c>
      <c r="C523" s="14">
        <v>80</v>
      </c>
      <c r="D523" s="14">
        <v>33.200000000000003</v>
      </c>
      <c r="E523" s="14">
        <v>0.30499999999999999</v>
      </c>
      <c r="F523" s="14">
        <v>26</v>
      </c>
      <c r="G523" s="14">
        <v>0</v>
      </c>
      <c r="H523" s="14">
        <v>124</v>
      </c>
      <c r="I523" s="14"/>
    </row>
    <row r="524" spans="1:9" x14ac:dyDescent="0.3">
      <c r="A524" s="14">
        <v>6</v>
      </c>
      <c r="B524" s="14">
        <v>114</v>
      </c>
      <c r="C524" s="14">
        <v>72</v>
      </c>
      <c r="D524" s="14">
        <v>32</v>
      </c>
      <c r="E524" s="14">
        <v>0.189</v>
      </c>
      <c r="F524" s="14">
        <v>26</v>
      </c>
      <c r="G524" s="14">
        <v>0</v>
      </c>
      <c r="H524" s="14">
        <v>114</v>
      </c>
      <c r="I524" s="14"/>
    </row>
    <row r="525" spans="1:9" x14ac:dyDescent="0.3">
      <c r="A525" s="14">
        <v>9</v>
      </c>
      <c r="B525" s="14">
        <v>130</v>
      </c>
      <c r="C525" s="14">
        <v>70</v>
      </c>
      <c r="D525" s="14">
        <v>34.200000000000003</v>
      </c>
      <c r="E525" s="14">
        <v>0.65200000000000002</v>
      </c>
      <c r="F525" s="14">
        <v>45</v>
      </c>
      <c r="G525" s="14">
        <v>1</v>
      </c>
      <c r="H525" s="14" t="s">
        <v>36</v>
      </c>
      <c r="I525" s="14">
        <v>130</v>
      </c>
    </row>
    <row r="526" spans="1:9" x14ac:dyDescent="0.3">
      <c r="A526" s="14">
        <v>3</v>
      </c>
      <c r="B526" s="14">
        <v>125</v>
      </c>
      <c r="C526" s="14">
        <v>58</v>
      </c>
      <c r="D526" s="14">
        <v>31.6</v>
      </c>
      <c r="E526" s="14">
        <v>0.151</v>
      </c>
      <c r="F526" s="14">
        <v>24</v>
      </c>
      <c r="G526" s="14">
        <v>0</v>
      </c>
      <c r="H526" s="14">
        <v>125</v>
      </c>
      <c r="I526" s="14"/>
    </row>
    <row r="527" spans="1:9" x14ac:dyDescent="0.3">
      <c r="A527" s="14">
        <v>3</v>
      </c>
      <c r="B527" s="14">
        <v>87</v>
      </c>
      <c r="C527" s="14">
        <v>60</v>
      </c>
      <c r="D527" s="14">
        <v>21.8</v>
      </c>
      <c r="E527" s="14">
        <v>0.44400000000000001</v>
      </c>
      <c r="F527" s="14">
        <v>21</v>
      </c>
      <c r="G527" s="14">
        <v>0</v>
      </c>
      <c r="H527" s="14">
        <v>87</v>
      </c>
      <c r="I527" s="14"/>
    </row>
    <row r="528" spans="1:9" x14ac:dyDescent="0.3">
      <c r="A528" s="14">
        <v>1</v>
      </c>
      <c r="B528" s="14">
        <v>97</v>
      </c>
      <c r="C528" s="14">
        <v>64</v>
      </c>
      <c r="D528" s="14">
        <v>18.2</v>
      </c>
      <c r="E528" s="14">
        <v>0.29899999999999999</v>
      </c>
      <c r="F528" s="14">
        <v>21</v>
      </c>
      <c r="G528" s="14">
        <v>0</v>
      </c>
      <c r="H528" s="14">
        <v>97</v>
      </c>
      <c r="I528" s="14"/>
    </row>
    <row r="529" spans="1:9" x14ac:dyDescent="0.3">
      <c r="A529" s="14">
        <v>3</v>
      </c>
      <c r="B529" s="14">
        <v>116</v>
      </c>
      <c r="C529" s="14">
        <v>74</v>
      </c>
      <c r="D529" s="14">
        <v>26.3</v>
      </c>
      <c r="E529" s="14">
        <v>0.107</v>
      </c>
      <c r="F529" s="14">
        <v>24</v>
      </c>
      <c r="G529" s="14">
        <v>0</v>
      </c>
      <c r="H529" s="14">
        <v>116</v>
      </c>
      <c r="I529" s="14"/>
    </row>
    <row r="530" spans="1:9" x14ac:dyDescent="0.3">
      <c r="A530" s="14">
        <v>0</v>
      </c>
      <c r="B530" s="14">
        <v>117</v>
      </c>
      <c r="C530" s="14">
        <v>66</v>
      </c>
      <c r="D530" s="14">
        <v>30.8</v>
      </c>
      <c r="E530" s="14">
        <v>0.49299999999999999</v>
      </c>
      <c r="F530" s="14">
        <v>22</v>
      </c>
      <c r="G530" s="14">
        <v>0</v>
      </c>
      <c r="H530" s="14">
        <v>117</v>
      </c>
      <c r="I530" s="14"/>
    </row>
    <row r="531" spans="1:9" x14ac:dyDescent="0.3">
      <c r="A531" s="14">
        <v>0</v>
      </c>
      <c r="B531" s="14">
        <v>111</v>
      </c>
      <c r="C531" s="14">
        <v>65</v>
      </c>
      <c r="D531" s="14">
        <v>24.6</v>
      </c>
      <c r="E531" s="14">
        <v>0.66</v>
      </c>
      <c r="F531" s="14">
        <v>31</v>
      </c>
      <c r="G531" s="14">
        <v>0</v>
      </c>
      <c r="H531" s="14">
        <v>111</v>
      </c>
      <c r="I531" s="14"/>
    </row>
    <row r="532" spans="1:9" x14ac:dyDescent="0.3">
      <c r="A532" s="14">
        <v>2</v>
      </c>
      <c r="B532" s="14">
        <v>122</v>
      </c>
      <c r="C532" s="14">
        <v>60</v>
      </c>
      <c r="D532" s="14">
        <v>29.8</v>
      </c>
      <c r="E532" s="14">
        <v>0.71699999999999997</v>
      </c>
      <c r="F532" s="14">
        <v>22</v>
      </c>
      <c r="G532" s="14">
        <v>0</v>
      </c>
      <c r="H532" s="14">
        <v>122</v>
      </c>
      <c r="I532" s="14"/>
    </row>
    <row r="533" spans="1:9" x14ac:dyDescent="0.3">
      <c r="A533" s="14">
        <v>0</v>
      </c>
      <c r="B533" s="14">
        <v>107</v>
      </c>
      <c r="C533" s="14">
        <v>76</v>
      </c>
      <c r="D533" s="14">
        <v>45.3</v>
      </c>
      <c r="E533" s="14">
        <v>0.68600000000000005</v>
      </c>
      <c r="F533" s="14">
        <v>24</v>
      </c>
      <c r="G533" s="14">
        <v>0</v>
      </c>
      <c r="H533" s="14">
        <v>107</v>
      </c>
      <c r="I533" s="14"/>
    </row>
    <row r="534" spans="1:9" x14ac:dyDescent="0.3">
      <c r="A534" s="14">
        <v>1</v>
      </c>
      <c r="B534" s="14">
        <v>86</v>
      </c>
      <c r="C534" s="14">
        <v>66</v>
      </c>
      <c r="D534" s="14">
        <v>41.3</v>
      </c>
      <c r="E534" s="14">
        <v>0.91700000000000004</v>
      </c>
      <c r="F534" s="14">
        <v>29</v>
      </c>
      <c r="G534" s="14">
        <v>0</v>
      </c>
      <c r="H534" s="14">
        <v>86</v>
      </c>
      <c r="I534" s="14"/>
    </row>
    <row r="535" spans="1:9" x14ac:dyDescent="0.3">
      <c r="A535" s="14">
        <v>6</v>
      </c>
      <c r="B535" s="14">
        <v>91</v>
      </c>
      <c r="C535" s="14">
        <v>72</v>
      </c>
      <c r="D535" s="14">
        <v>29.8</v>
      </c>
      <c r="E535" s="14">
        <v>0.501</v>
      </c>
      <c r="F535" s="14">
        <v>31</v>
      </c>
      <c r="G535" s="14">
        <v>0</v>
      </c>
      <c r="H535" s="14">
        <v>91</v>
      </c>
      <c r="I535" s="14"/>
    </row>
    <row r="536" spans="1:9" x14ac:dyDescent="0.3">
      <c r="A536" s="14">
        <v>1</v>
      </c>
      <c r="B536" s="14">
        <v>77</v>
      </c>
      <c r="C536" s="14">
        <v>56</v>
      </c>
      <c r="D536" s="14">
        <v>33.299999999999997</v>
      </c>
      <c r="E536" s="14">
        <v>1.2509999999999999</v>
      </c>
      <c r="F536" s="14">
        <v>24</v>
      </c>
      <c r="G536" s="14">
        <v>0</v>
      </c>
      <c r="H536" s="14">
        <v>77</v>
      </c>
      <c r="I536" s="14"/>
    </row>
    <row r="537" spans="1:9" x14ac:dyDescent="0.3">
      <c r="A537" s="14">
        <v>4</v>
      </c>
      <c r="B537" s="14">
        <v>132</v>
      </c>
      <c r="C537" s="14">
        <v>72</v>
      </c>
      <c r="D537" s="14">
        <v>32.9</v>
      </c>
      <c r="E537" s="14">
        <v>0.30199999999999999</v>
      </c>
      <c r="F537" s="14">
        <v>23</v>
      </c>
      <c r="G537" s="14">
        <v>1</v>
      </c>
      <c r="H537" s="14" t="s">
        <v>36</v>
      </c>
      <c r="I537" s="14">
        <v>132</v>
      </c>
    </row>
    <row r="538" spans="1:9" x14ac:dyDescent="0.3">
      <c r="A538" s="14">
        <v>0</v>
      </c>
      <c r="B538" s="14">
        <v>105</v>
      </c>
      <c r="C538" s="14">
        <v>90</v>
      </c>
      <c r="D538" s="14">
        <v>29.6</v>
      </c>
      <c r="E538" s="14">
        <v>0.19700000000000001</v>
      </c>
      <c r="F538" s="14">
        <v>46</v>
      </c>
      <c r="G538" s="14">
        <v>0</v>
      </c>
      <c r="H538" s="14">
        <v>105</v>
      </c>
      <c r="I538" s="14"/>
    </row>
    <row r="539" spans="1:9" x14ac:dyDescent="0.3">
      <c r="A539" s="14">
        <v>0</v>
      </c>
      <c r="B539" s="14">
        <v>57</v>
      </c>
      <c r="C539" s="14">
        <v>60</v>
      </c>
      <c r="D539" s="14">
        <v>21.7</v>
      </c>
      <c r="E539" s="14">
        <v>0.73499999999999999</v>
      </c>
      <c r="F539" s="14">
        <v>67</v>
      </c>
      <c r="G539" s="14">
        <v>0</v>
      </c>
      <c r="H539" s="14">
        <v>57</v>
      </c>
      <c r="I539" s="14"/>
    </row>
    <row r="540" spans="1:9" x14ac:dyDescent="0.3">
      <c r="A540" s="14">
        <v>0</v>
      </c>
      <c r="B540" s="14">
        <v>127</v>
      </c>
      <c r="C540" s="14">
        <v>80</v>
      </c>
      <c r="D540" s="14">
        <v>36.299999999999997</v>
      </c>
      <c r="E540" s="14">
        <v>0.80400000000000005</v>
      </c>
      <c r="F540" s="14">
        <v>23</v>
      </c>
      <c r="G540" s="14">
        <v>0</v>
      </c>
      <c r="H540" s="14">
        <v>127</v>
      </c>
      <c r="I540" s="14"/>
    </row>
    <row r="541" spans="1:9" x14ac:dyDescent="0.3">
      <c r="A541" s="14">
        <v>3</v>
      </c>
      <c r="B541" s="14">
        <v>129</v>
      </c>
      <c r="C541" s="14">
        <v>92</v>
      </c>
      <c r="D541" s="14">
        <v>36.4</v>
      </c>
      <c r="E541" s="14">
        <v>0.96799999999999997</v>
      </c>
      <c r="F541" s="14">
        <v>32</v>
      </c>
      <c r="G541" s="14">
        <v>1</v>
      </c>
      <c r="H541" s="14" t="s">
        <v>36</v>
      </c>
      <c r="I541" s="14">
        <v>129</v>
      </c>
    </row>
    <row r="542" spans="1:9" x14ac:dyDescent="0.3">
      <c r="A542" s="14">
        <v>8</v>
      </c>
      <c r="B542" s="14">
        <v>100</v>
      </c>
      <c r="C542" s="14">
        <v>74</v>
      </c>
      <c r="D542" s="14">
        <v>39.4</v>
      </c>
      <c r="E542" s="14">
        <v>0.66100000000000003</v>
      </c>
      <c r="F542" s="14">
        <v>43</v>
      </c>
      <c r="G542" s="14">
        <v>1</v>
      </c>
      <c r="H542" s="14" t="s">
        <v>36</v>
      </c>
      <c r="I542" s="14">
        <v>100</v>
      </c>
    </row>
    <row r="543" spans="1:9" x14ac:dyDescent="0.3">
      <c r="A543" s="14">
        <v>3</v>
      </c>
      <c r="B543" s="14">
        <v>128</v>
      </c>
      <c r="C543" s="14">
        <v>72</v>
      </c>
      <c r="D543" s="14">
        <v>32.4</v>
      </c>
      <c r="E543" s="14">
        <v>0.54900000000000004</v>
      </c>
      <c r="F543" s="14">
        <v>27</v>
      </c>
      <c r="G543" s="14">
        <v>1</v>
      </c>
      <c r="H543" s="14" t="s">
        <v>36</v>
      </c>
      <c r="I543" s="14">
        <v>128</v>
      </c>
    </row>
    <row r="544" spans="1:9" x14ac:dyDescent="0.3">
      <c r="A544" s="14">
        <v>10</v>
      </c>
      <c r="B544" s="14">
        <v>90</v>
      </c>
      <c r="C544" s="14">
        <v>85</v>
      </c>
      <c r="D544" s="14">
        <v>34.9</v>
      </c>
      <c r="E544" s="14">
        <v>0.82499999999999996</v>
      </c>
      <c r="F544" s="14">
        <v>56</v>
      </c>
      <c r="G544" s="14">
        <v>1</v>
      </c>
      <c r="H544" s="14" t="s">
        <v>36</v>
      </c>
      <c r="I544" s="14">
        <v>90</v>
      </c>
    </row>
    <row r="545" spans="1:9" x14ac:dyDescent="0.3">
      <c r="A545" s="14">
        <v>4</v>
      </c>
      <c r="B545" s="14">
        <v>84</v>
      </c>
      <c r="C545" s="14">
        <v>90</v>
      </c>
      <c r="D545" s="14">
        <v>39.5</v>
      </c>
      <c r="E545" s="14">
        <v>0.159</v>
      </c>
      <c r="F545" s="14">
        <v>25</v>
      </c>
      <c r="G545" s="14">
        <v>0</v>
      </c>
      <c r="H545" s="14">
        <v>84</v>
      </c>
      <c r="I545" s="14"/>
    </row>
    <row r="546" spans="1:9" x14ac:dyDescent="0.3">
      <c r="A546" s="14">
        <v>1</v>
      </c>
      <c r="B546" s="14">
        <v>88</v>
      </c>
      <c r="C546" s="14">
        <v>78</v>
      </c>
      <c r="D546" s="14">
        <v>32</v>
      </c>
      <c r="E546" s="14">
        <v>0.36499999999999999</v>
      </c>
      <c r="F546" s="14">
        <v>29</v>
      </c>
      <c r="G546" s="14">
        <v>0</v>
      </c>
      <c r="H546" s="14">
        <v>88</v>
      </c>
      <c r="I546" s="14"/>
    </row>
    <row r="547" spans="1:9" x14ac:dyDescent="0.3">
      <c r="A547" s="14">
        <v>8</v>
      </c>
      <c r="B547" s="14">
        <v>186</v>
      </c>
      <c r="C547" s="14">
        <v>90</v>
      </c>
      <c r="D547" s="14">
        <v>34.5</v>
      </c>
      <c r="E547" s="14">
        <v>0.42299999999999999</v>
      </c>
      <c r="F547" s="14">
        <v>37</v>
      </c>
      <c r="G547" s="14">
        <v>1</v>
      </c>
      <c r="H547" s="14" t="s">
        <v>36</v>
      </c>
      <c r="I547" s="14">
        <v>186</v>
      </c>
    </row>
    <row r="548" spans="1:9" x14ac:dyDescent="0.3">
      <c r="A548" s="14">
        <v>5</v>
      </c>
      <c r="B548" s="14">
        <v>187</v>
      </c>
      <c r="C548" s="14">
        <v>76</v>
      </c>
      <c r="D548" s="14">
        <v>43.6</v>
      </c>
      <c r="E548" s="14">
        <v>1.034</v>
      </c>
      <c r="F548" s="14">
        <v>53</v>
      </c>
      <c r="G548" s="14">
        <v>1</v>
      </c>
      <c r="H548" s="14" t="s">
        <v>36</v>
      </c>
      <c r="I548" s="14">
        <v>187</v>
      </c>
    </row>
    <row r="549" spans="1:9" x14ac:dyDescent="0.3">
      <c r="A549" s="14">
        <v>4</v>
      </c>
      <c r="B549" s="14">
        <v>131</v>
      </c>
      <c r="C549" s="14">
        <v>68</v>
      </c>
      <c r="D549" s="14">
        <v>33.1</v>
      </c>
      <c r="E549" s="14">
        <v>0.16</v>
      </c>
      <c r="F549" s="14">
        <v>28</v>
      </c>
      <c r="G549" s="14">
        <v>0</v>
      </c>
      <c r="H549" s="14">
        <v>131</v>
      </c>
      <c r="I549" s="14"/>
    </row>
    <row r="550" spans="1:9" x14ac:dyDescent="0.3">
      <c r="A550" s="14">
        <v>1</v>
      </c>
      <c r="B550" s="14">
        <v>164</v>
      </c>
      <c r="C550" s="14">
        <v>82</v>
      </c>
      <c r="D550" s="14">
        <v>32.799999999999997</v>
      </c>
      <c r="E550" s="14">
        <v>0.34100000000000003</v>
      </c>
      <c r="F550" s="14">
        <v>50</v>
      </c>
      <c r="G550" s="14">
        <v>0</v>
      </c>
      <c r="H550" s="14">
        <v>164</v>
      </c>
      <c r="I550" s="14"/>
    </row>
    <row r="551" spans="1:9" x14ac:dyDescent="0.3">
      <c r="A551" s="14">
        <v>4</v>
      </c>
      <c r="B551" s="14">
        <v>189</v>
      </c>
      <c r="C551" s="14">
        <v>110</v>
      </c>
      <c r="D551" s="14">
        <v>28.5</v>
      </c>
      <c r="E551" s="14">
        <v>0.68</v>
      </c>
      <c r="F551" s="14">
        <v>37</v>
      </c>
      <c r="G551" s="14">
        <v>0</v>
      </c>
      <c r="H551" s="14">
        <v>189</v>
      </c>
      <c r="I551" s="14"/>
    </row>
    <row r="552" spans="1:9" x14ac:dyDescent="0.3">
      <c r="A552" s="14">
        <v>1</v>
      </c>
      <c r="B552" s="14">
        <v>116</v>
      </c>
      <c r="C552" s="14">
        <v>70</v>
      </c>
      <c r="D552" s="14">
        <v>27.4</v>
      </c>
      <c r="E552" s="14">
        <v>0.20399999999999999</v>
      </c>
      <c r="F552" s="14">
        <v>21</v>
      </c>
      <c r="G552" s="14">
        <v>0</v>
      </c>
      <c r="H552" s="14">
        <v>116</v>
      </c>
      <c r="I552" s="14"/>
    </row>
    <row r="553" spans="1:9" x14ac:dyDescent="0.3">
      <c r="A553" s="14">
        <v>3</v>
      </c>
      <c r="B553" s="14">
        <v>84</v>
      </c>
      <c r="C553" s="14">
        <v>68</v>
      </c>
      <c r="D553" s="14">
        <v>31.9</v>
      </c>
      <c r="E553" s="14">
        <v>0.59099999999999997</v>
      </c>
      <c r="F553" s="14">
        <v>25</v>
      </c>
      <c r="G553" s="14">
        <v>0</v>
      </c>
      <c r="H553" s="14">
        <v>84</v>
      </c>
      <c r="I553" s="14"/>
    </row>
    <row r="554" spans="1:9" x14ac:dyDescent="0.3">
      <c r="A554" s="14">
        <v>6</v>
      </c>
      <c r="B554" s="14">
        <v>114</v>
      </c>
      <c r="C554" s="14">
        <v>88</v>
      </c>
      <c r="D554" s="14">
        <v>27.8</v>
      </c>
      <c r="E554" s="14">
        <v>0.247</v>
      </c>
      <c r="F554" s="14">
        <v>66</v>
      </c>
      <c r="G554" s="14">
        <v>0</v>
      </c>
      <c r="H554" s="14">
        <v>114</v>
      </c>
      <c r="I554" s="14"/>
    </row>
    <row r="555" spans="1:9" x14ac:dyDescent="0.3">
      <c r="A555" s="14">
        <v>1</v>
      </c>
      <c r="B555" s="14">
        <v>88</v>
      </c>
      <c r="C555" s="14">
        <v>62</v>
      </c>
      <c r="D555" s="14">
        <v>29.9</v>
      </c>
      <c r="E555" s="14">
        <v>0.42199999999999999</v>
      </c>
      <c r="F555" s="14">
        <v>23</v>
      </c>
      <c r="G555" s="14">
        <v>0</v>
      </c>
      <c r="H555" s="14">
        <v>88</v>
      </c>
      <c r="I555" s="14"/>
    </row>
    <row r="556" spans="1:9" x14ac:dyDescent="0.3">
      <c r="A556" s="14">
        <v>1</v>
      </c>
      <c r="B556" s="14">
        <v>84</v>
      </c>
      <c r="C556" s="14">
        <v>64</v>
      </c>
      <c r="D556" s="14">
        <v>36.9</v>
      </c>
      <c r="E556" s="14">
        <v>0.47099999999999997</v>
      </c>
      <c r="F556" s="14">
        <v>28</v>
      </c>
      <c r="G556" s="14">
        <v>0</v>
      </c>
      <c r="H556" s="14">
        <v>84</v>
      </c>
      <c r="I556" s="14"/>
    </row>
    <row r="557" spans="1:9" x14ac:dyDescent="0.3">
      <c r="A557" s="14">
        <v>7</v>
      </c>
      <c r="B557" s="14">
        <v>124</v>
      </c>
      <c r="C557" s="14">
        <v>70</v>
      </c>
      <c r="D557" s="14">
        <v>25.5</v>
      </c>
      <c r="E557" s="14">
        <v>0.161</v>
      </c>
      <c r="F557" s="14">
        <v>37</v>
      </c>
      <c r="G557" s="14">
        <v>0</v>
      </c>
      <c r="H557" s="14">
        <v>124</v>
      </c>
      <c r="I557" s="14"/>
    </row>
    <row r="558" spans="1:9" x14ac:dyDescent="0.3">
      <c r="A558" s="14">
        <v>1</v>
      </c>
      <c r="B558" s="14">
        <v>97</v>
      </c>
      <c r="C558" s="14">
        <v>70</v>
      </c>
      <c r="D558" s="14">
        <v>38.1</v>
      </c>
      <c r="E558" s="14">
        <v>0.218</v>
      </c>
      <c r="F558" s="14">
        <v>30</v>
      </c>
      <c r="G558" s="14">
        <v>0</v>
      </c>
      <c r="H558" s="14">
        <v>97</v>
      </c>
      <c r="I558" s="14"/>
    </row>
    <row r="559" spans="1:9" x14ac:dyDescent="0.3">
      <c r="A559" s="14">
        <v>8</v>
      </c>
      <c r="B559" s="14">
        <v>110</v>
      </c>
      <c r="C559" s="14">
        <v>76</v>
      </c>
      <c r="D559" s="14">
        <v>27.8</v>
      </c>
      <c r="E559" s="14">
        <v>0.23699999999999999</v>
      </c>
      <c r="F559" s="14">
        <v>58</v>
      </c>
      <c r="G559" s="14">
        <v>0</v>
      </c>
      <c r="H559" s="14">
        <v>110</v>
      </c>
      <c r="I559" s="14"/>
    </row>
    <row r="560" spans="1:9" x14ac:dyDescent="0.3">
      <c r="A560" s="14">
        <v>11</v>
      </c>
      <c r="B560" s="14">
        <v>103</v>
      </c>
      <c r="C560" s="14">
        <v>68</v>
      </c>
      <c r="D560" s="14">
        <v>46.2</v>
      </c>
      <c r="E560" s="14">
        <v>0.126</v>
      </c>
      <c r="F560" s="14">
        <v>42</v>
      </c>
      <c r="G560" s="14">
        <v>0</v>
      </c>
      <c r="H560" s="14">
        <v>103</v>
      </c>
      <c r="I560" s="14"/>
    </row>
    <row r="561" spans="1:9" x14ac:dyDescent="0.3">
      <c r="A561" s="14">
        <v>11</v>
      </c>
      <c r="B561" s="14">
        <v>85</v>
      </c>
      <c r="C561" s="14">
        <v>74</v>
      </c>
      <c r="D561" s="14">
        <v>30.1</v>
      </c>
      <c r="E561" s="14">
        <v>0.3</v>
      </c>
      <c r="F561" s="14">
        <v>35</v>
      </c>
      <c r="G561" s="14">
        <v>0</v>
      </c>
      <c r="H561" s="14">
        <v>85</v>
      </c>
      <c r="I561" s="14"/>
    </row>
    <row r="562" spans="1:9" x14ac:dyDescent="0.3">
      <c r="A562" s="14">
        <v>6</v>
      </c>
      <c r="B562" s="14">
        <v>125</v>
      </c>
      <c r="C562" s="14">
        <v>76</v>
      </c>
      <c r="D562" s="14">
        <v>33.799999999999997</v>
      </c>
      <c r="E562" s="14">
        <v>0.121</v>
      </c>
      <c r="F562" s="14">
        <v>54</v>
      </c>
      <c r="G562" s="14">
        <v>1</v>
      </c>
      <c r="H562" s="14" t="s">
        <v>36</v>
      </c>
      <c r="I562" s="14">
        <v>125</v>
      </c>
    </row>
    <row r="563" spans="1:9" x14ac:dyDescent="0.3">
      <c r="A563" s="14">
        <v>0</v>
      </c>
      <c r="B563" s="14">
        <v>198</v>
      </c>
      <c r="C563" s="14">
        <v>66</v>
      </c>
      <c r="D563" s="14">
        <v>41.3</v>
      </c>
      <c r="E563" s="14">
        <v>0.502</v>
      </c>
      <c r="F563" s="14">
        <v>28</v>
      </c>
      <c r="G563" s="14">
        <v>1</v>
      </c>
      <c r="H563" s="14" t="s">
        <v>36</v>
      </c>
      <c r="I563" s="14">
        <v>198</v>
      </c>
    </row>
    <row r="564" spans="1:9" x14ac:dyDescent="0.3">
      <c r="A564" s="14">
        <v>1</v>
      </c>
      <c r="B564" s="14">
        <v>87</v>
      </c>
      <c r="C564" s="14">
        <v>68</v>
      </c>
      <c r="D564" s="14">
        <v>37.6</v>
      </c>
      <c r="E564" s="14">
        <v>0.40100000000000002</v>
      </c>
      <c r="F564" s="14">
        <v>24</v>
      </c>
      <c r="G564" s="14">
        <v>0</v>
      </c>
      <c r="H564" s="14">
        <v>87</v>
      </c>
      <c r="I564" s="14"/>
    </row>
    <row r="565" spans="1:9" x14ac:dyDescent="0.3">
      <c r="A565" s="14">
        <v>6</v>
      </c>
      <c r="B565" s="14">
        <v>99</v>
      </c>
      <c r="C565" s="14">
        <v>60</v>
      </c>
      <c r="D565" s="14">
        <v>26.9</v>
      </c>
      <c r="E565" s="14">
        <v>0.497</v>
      </c>
      <c r="F565" s="14">
        <v>32</v>
      </c>
      <c r="G565" s="14">
        <v>0</v>
      </c>
      <c r="H565" s="14">
        <v>99</v>
      </c>
      <c r="I565" s="14"/>
    </row>
    <row r="566" spans="1:9" x14ac:dyDescent="0.3">
      <c r="A566" s="14">
        <v>0</v>
      </c>
      <c r="B566" s="14">
        <v>91</v>
      </c>
      <c r="C566" s="14">
        <v>80</v>
      </c>
      <c r="D566" s="14">
        <v>32.4</v>
      </c>
      <c r="E566" s="14">
        <v>0.60099999999999998</v>
      </c>
      <c r="F566" s="14">
        <v>27</v>
      </c>
      <c r="G566" s="14">
        <v>0</v>
      </c>
      <c r="H566" s="14">
        <v>91</v>
      </c>
      <c r="I566" s="14"/>
    </row>
    <row r="567" spans="1:9" x14ac:dyDescent="0.3">
      <c r="A567" s="14">
        <v>2</v>
      </c>
      <c r="B567" s="14">
        <v>95</v>
      </c>
      <c r="C567" s="14">
        <v>54</v>
      </c>
      <c r="D567" s="14">
        <v>26.1</v>
      </c>
      <c r="E567" s="14">
        <v>0.748</v>
      </c>
      <c r="F567" s="14">
        <v>22</v>
      </c>
      <c r="G567" s="14">
        <v>0</v>
      </c>
      <c r="H567" s="14">
        <v>95</v>
      </c>
      <c r="I567" s="14"/>
    </row>
    <row r="568" spans="1:9" x14ac:dyDescent="0.3">
      <c r="A568" s="14">
        <v>1</v>
      </c>
      <c r="B568" s="14">
        <v>99</v>
      </c>
      <c r="C568" s="14">
        <v>72</v>
      </c>
      <c r="D568" s="14">
        <v>38.6</v>
      </c>
      <c r="E568" s="14">
        <v>0.41199999999999998</v>
      </c>
      <c r="F568" s="14">
        <v>21</v>
      </c>
      <c r="G568" s="14">
        <v>0</v>
      </c>
      <c r="H568" s="14">
        <v>99</v>
      </c>
      <c r="I568" s="14"/>
    </row>
    <row r="569" spans="1:9" x14ac:dyDescent="0.3">
      <c r="A569" s="14">
        <v>6</v>
      </c>
      <c r="B569" s="14">
        <v>92</v>
      </c>
      <c r="C569" s="14">
        <v>62</v>
      </c>
      <c r="D569" s="14">
        <v>32</v>
      </c>
      <c r="E569" s="14">
        <v>8.5000000000000006E-2</v>
      </c>
      <c r="F569" s="14">
        <v>46</v>
      </c>
      <c r="G569" s="14">
        <v>0</v>
      </c>
      <c r="H569" s="14">
        <v>92</v>
      </c>
      <c r="I569" s="14"/>
    </row>
    <row r="570" spans="1:9" x14ac:dyDescent="0.3">
      <c r="A570" s="14">
        <v>4</v>
      </c>
      <c r="B570" s="14">
        <v>154</v>
      </c>
      <c r="C570" s="14">
        <v>72</v>
      </c>
      <c r="D570" s="14">
        <v>31.3</v>
      </c>
      <c r="E570" s="14">
        <v>0.33800000000000002</v>
      </c>
      <c r="F570" s="14">
        <v>37</v>
      </c>
      <c r="G570" s="14">
        <v>0</v>
      </c>
      <c r="H570" s="14">
        <v>154</v>
      </c>
      <c r="I570" s="14"/>
    </row>
    <row r="571" spans="1:9" x14ac:dyDescent="0.3">
      <c r="A571" s="14">
        <v>0</v>
      </c>
      <c r="B571" s="14">
        <v>121</v>
      </c>
      <c r="C571" s="14">
        <v>66</v>
      </c>
      <c r="D571" s="14">
        <v>34.299999999999997</v>
      </c>
      <c r="E571" s="14">
        <v>0.20300000000000001</v>
      </c>
      <c r="F571" s="14">
        <v>33</v>
      </c>
      <c r="G571" s="14">
        <v>1</v>
      </c>
      <c r="H571" s="14" t="s">
        <v>36</v>
      </c>
      <c r="I571" s="14">
        <v>121</v>
      </c>
    </row>
    <row r="572" spans="1:9" x14ac:dyDescent="0.3">
      <c r="A572" s="14">
        <v>3</v>
      </c>
      <c r="B572" s="14">
        <v>78</v>
      </c>
      <c r="C572" s="14">
        <v>70</v>
      </c>
      <c r="D572" s="14">
        <v>32.5</v>
      </c>
      <c r="E572" s="14">
        <v>0.27</v>
      </c>
      <c r="F572" s="14">
        <v>39</v>
      </c>
      <c r="G572" s="14">
        <v>0</v>
      </c>
      <c r="H572" s="14">
        <v>78</v>
      </c>
      <c r="I572" s="14"/>
    </row>
    <row r="573" spans="1:9" x14ac:dyDescent="0.3">
      <c r="A573" s="14">
        <v>2</v>
      </c>
      <c r="B573" s="14">
        <v>130</v>
      </c>
      <c r="C573" s="14">
        <v>96</v>
      </c>
      <c r="D573" s="14">
        <v>22.6</v>
      </c>
      <c r="E573" s="14">
        <v>0.26800000000000002</v>
      </c>
      <c r="F573" s="14">
        <v>21</v>
      </c>
      <c r="G573" s="14">
        <v>0</v>
      </c>
      <c r="H573" s="14">
        <v>130</v>
      </c>
      <c r="I573" s="14"/>
    </row>
    <row r="574" spans="1:9" x14ac:dyDescent="0.3">
      <c r="A574" s="14">
        <v>3</v>
      </c>
      <c r="B574" s="14">
        <v>111</v>
      </c>
      <c r="C574" s="14">
        <v>58</v>
      </c>
      <c r="D574" s="14">
        <v>29.5</v>
      </c>
      <c r="E574" s="14">
        <v>0.43</v>
      </c>
      <c r="F574" s="14">
        <v>22</v>
      </c>
      <c r="G574" s="14">
        <v>0</v>
      </c>
      <c r="H574" s="14">
        <v>111</v>
      </c>
      <c r="I574" s="14"/>
    </row>
    <row r="575" spans="1:9" x14ac:dyDescent="0.3">
      <c r="A575" s="14">
        <v>2</v>
      </c>
      <c r="B575" s="14">
        <v>98</v>
      </c>
      <c r="C575" s="14">
        <v>60</v>
      </c>
      <c r="D575" s="14">
        <v>34.700000000000003</v>
      </c>
      <c r="E575" s="14">
        <v>0.19800000000000001</v>
      </c>
      <c r="F575" s="14">
        <v>22</v>
      </c>
      <c r="G575" s="14">
        <v>0</v>
      </c>
      <c r="H575" s="14">
        <v>98</v>
      </c>
      <c r="I575" s="14"/>
    </row>
    <row r="576" spans="1:9" x14ac:dyDescent="0.3">
      <c r="A576" s="14">
        <v>1</v>
      </c>
      <c r="B576" s="14">
        <v>143</v>
      </c>
      <c r="C576" s="14">
        <v>86</v>
      </c>
      <c r="D576" s="14">
        <v>30.1</v>
      </c>
      <c r="E576" s="14">
        <v>0.89200000000000002</v>
      </c>
      <c r="F576" s="14">
        <v>23</v>
      </c>
      <c r="G576" s="14">
        <v>0</v>
      </c>
      <c r="H576" s="14">
        <v>143</v>
      </c>
      <c r="I576" s="14"/>
    </row>
    <row r="577" spans="1:9" x14ac:dyDescent="0.3">
      <c r="A577" s="14">
        <v>1</v>
      </c>
      <c r="B577" s="14">
        <v>119</v>
      </c>
      <c r="C577" s="14">
        <v>44</v>
      </c>
      <c r="D577" s="14">
        <v>35.5</v>
      </c>
      <c r="E577" s="14">
        <v>0.28000000000000003</v>
      </c>
      <c r="F577" s="14">
        <v>25</v>
      </c>
      <c r="G577" s="14">
        <v>0</v>
      </c>
      <c r="H577" s="14">
        <v>119</v>
      </c>
      <c r="I577" s="14"/>
    </row>
    <row r="578" spans="1:9" x14ac:dyDescent="0.3">
      <c r="A578" s="14">
        <v>6</v>
      </c>
      <c r="B578" s="14">
        <v>108</v>
      </c>
      <c r="C578" s="14">
        <v>44</v>
      </c>
      <c r="D578" s="14">
        <v>24</v>
      </c>
      <c r="E578" s="14">
        <v>0.81299999999999994</v>
      </c>
      <c r="F578" s="14">
        <v>35</v>
      </c>
      <c r="G578" s="14">
        <v>0</v>
      </c>
      <c r="H578" s="14">
        <v>108</v>
      </c>
      <c r="I578" s="14"/>
    </row>
    <row r="579" spans="1:9" x14ac:dyDescent="0.3">
      <c r="A579" s="14">
        <v>2</v>
      </c>
      <c r="B579" s="14">
        <v>118</v>
      </c>
      <c r="C579" s="14">
        <v>80</v>
      </c>
      <c r="D579" s="14">
        <v>42.9</v>
      </c>
      <c r="E579" s="14">
        <v>0.69299999999999995</v>
      </c>
      <c r="F579" s="14">
        <v>21</v>
      </c>
      <c r="G579" s="14">
        <v>1</v>
      </c>
      <c r="H579" s="14" t="s">
        <v>36</v>
      </c>
      <c r="I579" s="14">
        <v>118</v>
      </c>
    </row>
    <row r="580" spans="1:9" x14ac:dyDescent="0.3">
      <c r="A580" s="14">
        <v>10</v>
      </c>
      <c r="B580" s="14">
        <v>133</v>
      </c>
      <c r="C580" s="14">
        <v>68</v>
      </c>
      <c r="D580" s="14">
        <v>27</v>
      </c>
      <c r="E580" s="14">
        <v>0.245</v>
      </c>
      <c r="F580" s="14">
        <v>36</v>
      </c>
      <c r="G580" s="14">
        <v>0</v>
      </c>
      <c r="H580" s="14">
        <v>133</v>
      </c>
      <c r="I580" s="14"/>
    </row>
    <row r="581" spans="1:9" x14ac:dyDescent="0.3">
      <c r="A581" s="14">
        <v>2</v>
      </c>
      <c r="B581" s="14">
        <v>197</v>
      </c>
      <c r="C581" s="14">
        <v>70</v>
      </c>
      <c r="D581" s="14">
        <v>34.700000000000003</v>
      </c>
      <c r="E581" s="14">
        <v>0.57499999999999996</v>
      </c>
      <c r="F581" s="14">
        <v>62</v>
      </c>
      <c r="G581" s="14">
        <v>1</v>
      </c>
      <c r="H581" s="14" t="s">
        <v>36</v>
      </c>
      <c r="I581" s="14">
        <v>197</v>
      </c>
    </row>
    <row r="582" spans="1:9" x14ac:dyDescent="0.3">
      <c r="A582" s="14">
        <v>0</v>
      </c>
      <c r="B582" s="14">
        <v>151</v>
      </c>
      <c r="C582" s="14">
        <v>90</v>
      </c>
      <c r="D582" s="14">
        <v>42.1</v>
      </c>
      <c r="E582" s="14">
        <v>0.371</v>
      </c>
      <c r="F582" s="14">
        <v>21</v>
      </c>
      <c r="G582" s="14">
        <v>1</v>
      </c>
      <c r="H582" s="14" t="s">
        <v>36</v>
      </c>
      <c r="I582" s="14">
        <v>151</v>
      </c>
    </row>
    <row r="583" spans="1:9" x14ac:dyDescent="0.3">
      <c r="A583" s="14">
        <v>6</v>
      </c>
      <c r="B583" s="14">
        <v>109</v>
      </c>
      <c r="C583" s="14">
        <v>60</v>
      </c>
      <c r="D583" s="14">
        <v>25</v>
      </c>
      <c r="E583" s="14">
        <v>0.20599999999999999</v>
      </c>
      <c r="F583" s="14">
        <v>27</v>
      </c>
      <c r="G583" s="14">
        <v>0</v>
      </c>
      <c r="H583" s="14">
        <v>109</v>
      </c>
      <c r="I583" s="14"/>
    </row>
    <row r="584" spans="1:9" x14ac:dyDescent="0.3">
      <c r="A584" s="14">
        <v>12</v>
      </c>
      <c r="B584" s="14">
        <v>121</v>
      </c>
      <c r="C584" s="14">
        <v>78</v>
      </c>
      <c r="D584" s="14">
        <v>26.5</v>
      </c>
      <c r="E584" s="14">
        <v>0.25900000000000001</v>
      </c>
      <c r="F584" s="14">
        <v>62</v>
      </c>
      <c r="G584" s="14">
        <v>0</v>
      </c>
      <c r="H584" s="14">
        <v>121</v>
      </c>
      <c r="I584" s="14"/>
    </row>
    <row r="585" spans="1:9" x14ac:dyDescent="0.3">
      <c r="A585" s="14">
        <v>8</v>
      </c>
      <c r="B585" s="14">
        <v>100</v>
      </c>
      <c r="C585" s="14">
        <v>76</v>
      </c>
      <c r="D585" s="14">
        <v>38.700000000000003</v>
      </c>
      <c r="E585" s="14">
        <v>0.19</v>
      </c>
      <c r="F585" s="14">
        <v>42</v>
      </c>
      <c r="G585" s="14">
        <v>0</v>
      </c>
      <c r="H585" s="14">
        <v>100</v>
      </c>
      <c r="I585" s="14"/>
    </row>
    <row r="586" spans="1:9" x14ac:dyDescent="0.3">
      <c r="A586" s="14">
        <v>8</v>
      </c>
      <c r="B586" s="14">
        <v>124</v>
      </c>
      <c r="C586" s="14">
        <v>76</v>
      </c>
      <c r="D586" s="14">
        <v>28.7</v>
      </c>
      <c r="E586" s="14">
        <v>0.68700000000000006</v>
      </c>
      <c r="F586" s="14">
        <v>52</v>
      </c>
      <c r="G586" s="14">
        <v>1</v>
      </c>
      <c r="H586" s="14" t="s">
        <v>36</v>
      </c>
      <c r="I586" s="14">
        <v>124</v>
      </c>
    </row>
    <row r="587" spans="1:9" x14ac:dyDescent="0.3">
      <c r="A587" s="14">
        <v>1</v>
      </c>
      <c r="B587" s="14">
        <v>93</v>
      </c>
      <c r="C587" s="14">
        <v>56</v>
      </c>
      <c r="D587" s="14">
        <v>22.5</v>
      </c>
      <c r="E587" s="14">
        <v>0.41699999999999998</v>
      </c>
      <c r="F587" s="14">
        <v>22</v>
      </c>
      <c r="G587" s="14">
        <v>0</v>
      </c>
      <c r="H587" s="14">
        <v>93</v>
      </c>
      <c r="I587" s="14"/>
    </row>
    <row r="588" spans="1:9" x14ac:dyDescent="0.3">
      <c r="A588" s="14">
        <v>8</v>
      </c>
      <c r="B588" s="14">
        <v>143</v>
      </c>
      <c r="C588" s="14">
        <v>66</v>
      </c>
      <c r="D588" s="14">
        <v>34.9</v>
      </c>
      <c r="E588" s="14">
        <v>0.129</v>
      </c>
      <c r="F588" s="14">
        <v>41</v>
      </c>
      <c r="G588" s="14">
        <v>1</v>
      </c>
      <c r="H588" s="14" t="s">
        <v>36</v>
      </c>
      <c r="I588" s="14">
        <v>143</v>
      </c>
    </row>
    <row r="589" spans="1:9" x14ac:dyDescent="0.3">
      <c r="A589" s="14">
        <v>6</v>
      </c>
      <c r="B589" s="14">
        <v>103</v>
      </c>
      <c r="C589" s="14">
        <v>66</v>
      </c>
      <c r="D589" s="14">
        <v>24.3</v>
      </c>
      <c r="E589" s="14">
        <v>0.249</v>
      </c>
      <c r="F589" s="14">
        <v>29</v>
      </c>
      <c r="G589" s="14">
        <v>0</v>
      </c>
      <c r="H589" s="14">
        <v>103</v>
      </c>
      <c r="I589" s="14"/>
    </row>
    <row r="590" spans="1:9" x14ac:dyDescent="0.3">
      <c r="A590" s="14">
        <v>3</v>
      </c>
      <c r="B590" s="14">
        <v>176</v>
      </c>
      <c r="C590" s="14">
        <v>86</v>
      </c>
      <c r="D590" s="14">
        <v>33.299999999999997</v>
      </c>
      <c r="E590" s="14">
        <v>1.1539999999999999</v>
      </c>
      <c r="F590" s="14">
        <v>52</v>
      </c>
      <c r="G590" s="14">
        <v>1</v>
      </c>
      <c r="H590" s="14" t="s">
        <v>36</v>
      </c>
      <c r="I590" s="14">
        <v>176</v>
      </c>
    </row>
    <row r="591" spans="1:9" x14ac:dyDescent="0.3">
      <c r="A591" s="14">
        <v>0</v>
      </c>
      <c r="B591" s="14">
        <v>73</v>
      </c>
      <c r="C591" s="14">
        <v>72</v>
      </c>
      <c r="D591" s="14">
        <v>21.1</v>
      </c>
      <c r="E591" s="14">
        <v>0.34200000000000003</v>
      </c>
      <c r="F591" s="14">
        <v>25</v>
      </c>
      <c r="G591" s="14">
        <v>0</v>
      </c>
      <c r="H591" s="14">
        <v>73</v>
      </c>
      <c r="I591" s="14"/>
    </row>
    <row r="592" spans="1:9" x14ac:dyDescent="0.3">
      <c r="A592" s="14">
        <v>11</v>
      </c>
      <c r="B592" s="14">
        <v>111</v>
      </c>
      <c r="C592" s="14">
        <v>84</v>
      </c>
      <c r="D592" s="14">
        <v>46.8</v>
      </c>
      <c r="E592" s="14">
        <v>0.92500000000000004</v>
      </c>
      <c r="F592" s="14">
        <v>45</v>
      </c>
      <c r="G592" s="14">
        <v>1</v>
      </c>
      <c r="H592" s="14" t="s">
        <v>36</v>
      </c>
      <c r="I592" s="14">
        <v>111</v>
      </c>
    </row>
    <row r="593" spans="1:9" x14ac:dyDescent="0.3">
      <c r="A593" s="14">
        <v>2</v>
      </c>
      <c r="B593" s="14">
        <v>112</v>
      </c>
      <c r="C593" s="14">
        <v>78</v>
      </c>
      <c r="D593" s="14">
        <v>39.4</v>
      </c>
      <c r="E593" s="14">
        <v>0.17499999999999999</v>
      </c>
      <c r="F593" s="14">
        <v>24</v>
      </c>
      <c r="G593" s="14">
        <v>0</v>
      </c>
      <c r="H593" s="14">
        <v>112</v>
      </c>
      <c r="I593" s="14"/>
    </row>
    <row r="594" spans="1:9" x14ac:dyDescent="0.3">
      <c r="A594" s="14">
        <v>3</v>
      </c>
      <c r="B594" s="14">
        <v>132</v>
      </c>
      <c r="C594" s="14">
        <v>80</v>
      </c>
      <c r="D594" s="14">
        <v>34.4</v>
      </c>
      <c r="E594" s="14">
        <v>0.40200000000000002</v>
      </c>
      <c r="F594" s="14">
        <v>44</v>
      </c>
      <c r="G594" s="14">
        <v>1</v>
      </c>
      <c r="H594" s="14" t="s">
        <v>36</v>
      </c>
      <c r="I594" s="14">
        <v>132</v>
      </c>
    </row>
    <row r="595" spans="1:9" x14ac:dyDescent="0.3">
      <c r="A595" s="14">
        <v>2</v>
      </c>
      <c r="B595" s="14">
        <v>82</v>
      </c>
      <c r="C595" s="14">
        <v>52</v>
      </c>
      <c r="D595" s="14">
        <v>28.5</v>
      </c>
      <c r="E595" s="14">
        <v>1.6990000000000001</v>
      </c>
      <c r="F595" s="14">
        <v>25</v>
      </c>
      <c r="G595" s="14">
        <v>0</v>
      </c>
      <c r="H595" s="14">
        <v>82</v>
      </c>
      <c r="I595" s="14"/>
    </row>
    <row r="596" spans="1:9" x14ac:dyDescent="0.3">
      <c r="A596" s="14">
        <v>6</v>
      </c>
      <c r="B596" s="14">
        <v>123</v>
      </c>
      <c r="C596" s="14">
        <v>72</v>
      </c>
      <c r="D596" s="14">
        <v>33.6</v>
      </c>
      <c r="E596" s="14">
        <v>0.73299999999999998</v>
      </c>
      <c r="F596" s="14">
        <v>34</v>
      </c>
      <c r="G596" s="14">
        <v>0</v>
      </c>
      <c r="H596" s="14">
        <v>123</v>
      </c>
      <c r="I596" s="14"/>
    </row>
    <row r="597" spans="1:9" x14ac:dyDescent="0.3">
      <c r="A597" s="14">
        <v>0</v>
      </c>
      <c r="B597" s="14">
        <v>188</v>
      </c>
      <c r="C597" s="14">
        <v>82</v>
      </c>
      <c r="D597" s="14">
        <v>32</v>
      </c>
      <c r="E597" s="14">
        <v>0.68200000000000005</v>
      </c>
      <c r="F597" s="14">
        <v>22</v>
      </c>
      <c r="G597" s="14">
        <v>1</v>
      </c>
      <c r="H597" s="14" t="s">
        <v>36</v>
      </c>
      <c r="I597" s="14">
        <v>188</v>
      </c>
    </row>
    <row r="598" spans="1:9" x14ac:dyDescent="0.3">
      <c r="A598" s="14">
        <v>0</v>
      </c>
      <c r="B598" s="14">
        <v>67</v>
      </c>
      <c r="C598" s="14">
        <v>76</v>
      </c>
      <c r="D598" s="14">
        <v>45.3</v>
      </c>
      <c r="E598" s="14">
        <v>0.19400000000000001</v>
      </c>
      <c r="F598" s="14">
        <v>46</v>
      </c>
      <c r="G598" s="14">
        <v>0</v>
      </c>
      <c r="H598" s="14">
        <v>67</v>
      </c>
      <c r="I598" s="14"/>
    </row>
    <row r="599" spans="1:9" x14ac:dyDescent="0.3">
      <c r="A599" s="14">
        <v>1</v>
      </c>
      <c r="B599" s="14">
        <v>89</v>
      </c>
      <c r="C599" s="14">
        <v>24</v>
      </c>
      <c r="D599" s="14">
        <v>27.8</v>
      </c>
      <c r="E599" s="14">
        <v>0.55900000000000005</v>
      </c>
      <c r="F599" s="14">
        <v>21</v>
      </c>
      <c r="G599" s="14">
        <v>0</v>
      </c>
      <c r="H599" s="14">
        <v>89</v>
      </c>
      <c r="I599" s="14"/>
    </row>
    <row r="600" spans="1:9" x14ac:dyDescent="0.3">
      <c r="A600" s="14">
        <v>1</v>
      </c>
      <c r="B600" s="14">
        <v>173</v>
      </c>
      <c r="C600" s="14">
        <v>74</v>
      </c>
      <c r="D600" s="14">
        <v>36.799999999999997</v>
      </c>
      <c r="E600" s="14">
        <v>8.7999999999999995E-2</v>
      </c>
      <c r="F600" s="14">
        <v>38</v>
      </c>
      <c r="G600" s="14">
        <v>1</v>
      </c>
      <c r="H600" s="14" t="s">
        <v>36</v>
      </c>
      <c r="I600" s="14">
        <v>173</v>
      </c>
    </row>
    <row r="601" spans="1:9" x14ac:dyDescent="0.3">
      <c r="A601" s="14">
        <v>1</v>
      </c>
      <c r="B601" s="14">
        <v>109</v>
      </c>
      <c r="C601" s="14">
        <v>38</v>
      </c>
      <c r="D601" s="14">
        <v>23.1</v>
      </c>
      <c r="E601" s="14">
        <v>0.40699999999999997</v>
      </c>
      <c r="F601" s="14">
        <v>26</v>
      </c>
      <c r="G601" s="14">
        <v>0</v>
      </c>
      <c r="H601" s="14">
        <v>109</v>
      </c>
      <c r="I601" s="14"/>
    </row>
    <row r="602" spans="1:9" x14ac:dyDescent="0.3">
      <c r="A602" s="14">
        <v>1</v>
      </c>
      <c r="B602" s="14">
        <v>108</v>
      </c>
      <c r="C602" s="14">
        <v>88</v>
      </c>
      <c r="D602" s="14">
        <v>27.1</v>
      </c>
      <c r="E602" s="14">
        <v>0.4</v>
      </c>
      <c r="F602" s="14">
        <v>24</v>
      </c>
      <c r="G602" s="14">
        <v>0</v>
      </c>
      <c r="H602" s="14">
        <v>108</v>
      </c>
      <c r="I602" s="14"/>
    </row>
    <row r="603" spans="1:9" x14ac:dyDescent="0.3">
      <c r="A603" s="14">
        <v>6</v>
      </c>
      <c r="B603" s="14">
        <v>96</v>
      </c>
      <c r="C603" s="14">
        <v>72</v>
      </c>
      <c r="D603" s="14">
        <v>23.7</v>
      </c>
      <c r="E603" s="14">
        <v>0.19</v>
      </c>
      <c r="F603" s="14">
        <v>28</v>
      </c>
      <c r="G603" s="14">
        <v>0</v>
      </c>
      <c r="H603" s="14">
        <v>96</v>
      </c>
      <c r="I603" s="14"/>
    </row>
    <row r="604" spans="1:9" x14ac:dyDescent="0.3">
      <c r="A604" s="14">
        <v>1</v>
      </c>
      <c r="B604" s="14">
        <v>124</v>
      </c>
      <c r="C604" s="14">
        <v>74</v>
      </c>
      <c r="D604" s="14">
        <v>27.8</v>
      </c>
      <c r="E604" s="14">
        <v>0.1</v>
      </c>
      <c r="F604" s="14">
        <v>30</v>
      </c>
      <c r="G604" s="14">
        <v>0</v>
      </c>
      <c r="H604" s="14">
        <v>124</v>
      </c>
      <c r="I604" s="14"/>
    </row>
    <row r="605" spans="1:9" x14ac:dyDescent="0.3">
      <c r="A605" s="14">
        <v>7</v>
      </c>
      <c r="B605" s="14">
        <v>150</v>
      </c>
      <c r="C605" s="14">
        <v>78</v>
      </c>
      <c r="D605" s="14">
        <v>35.200000000000003</v>
      </c>
      <c r="E605" s="14">
        <v>0.69199999999999995</v>
      </c>
      <c r="F605" s="14">
        <v>54</v>
      </c>
      <c r="G605" s="14">
        <v>1</v>
      </c>
      <c r="H605" s="14" t="s">
        <v>36</v>
      </c>
      <c r="I605" s="14">
        <v>150</v>
      </c>
    </row>
    <row r="606" spans="1:9" x14ac:dyDescent="0.3">
      <c r="A606" s="14">
        <v>4</v>
      </c>
      <c r="B606" s="14">
        <v>183</v>
      </c>
      <c r="C606" s="14">
        <v>72</v>
      </c>
      <c r="D606" s="14">
        <v>28.4</v>
      </c>
      <c r="E606" s="14">
        <v>0.21199999999999999</v>
      </c>
      <c r="F606" s="14">
        <v>36</v>
      </c>
      <c r="G606" s="14">
        <v>1</v>
      </c>
      <c r="H606" s="14" t="s">
        <v>36</v>
      </c>
      <c r="I606" s="14">
        <v>183</v>
      </c>
    </row>
    <row r="607" spans="1:9" x14ac:dyDescent="0.3">
      <c r="A607" s="14">
        <v>1</v>
      </c>
      <c r="B607" s="14">
        <v>124</v>
      </c>
      <c r="C607" s="14">
        <v>60</v>
      </c>
      <c r="D607" s="14">
        <v>35.799999999999997</v>
      </c>
      <c r="E607" s="14">
        <v>0.51400000000000001</v>
      </c>
      <c r="F607" s="14">
        <v>21</v>
      </c>
      <c r="G607" s="14">
        <v>0</v>
      </c>
      <c r="H607" s="14">
        <v>124</v>
      </c>
      <c r="I607" s="14"/>
    </row>
    <row r="608" spans="1:9" x14ac:dyDescent="0.3">
      <c r="A608" s="14">
        <v>1</v>
      </c>
      <c r="B608" s="14">
        <v>181</v>
      </c>
      <c r="C608" s="14">
        <v>78</v>
      </c>
      <c r="D608" s="14">
        <v>40</v>
      </c>
      <c r="E608" s="14">
        <v>1.258</v>
      </c>
      <c r="F608" s="14">
        <v>22</v>
      </c>
      <c r="G608" s="14">
        <v>1</v>
      </c>
      <c r="H608" s="14" t="s">
        <v>36</v>
      </c>
      <c r="I608" s="14">
        <v>181</v>
      </c>
    </row>
    <row r="609" spans="1:9" x14ac:dyDescent="0.3">
      <c r="A609" s="14">
        <v>1</v>
      </c>
      <c r="B609" s="14">
        <v>92</v>
      </c>
      <c r="C609" s="14">
        <v>62</v>
      </c>
      <c r="D609" s="14">
        <v>19.5</v>
      </c>
      <c r="E609" s="14">
        <v>0.48199999999999998</v>
      </c>
      <c r="F609" s="14">
        <v>25</v>
      </c>
      <c r="G609" s="14">
        <v>0</v>
      </c>
      <c r="H609" s="14">
        <v>92</v>
      </c>
      <c r="I609" s="14"/>
    </row>
    <row r="610" spans="1:9" x14ac:dyDescent="0.3">
      <c r="A610" s="14">
        <v>0</v>
      </c>
      <c r="B610" s="14">
        <v>152</v>
      </c>
      <c r="C610" s="14">
        <v>82</v>
      </c>
      <c r="D610" s="14">
        <v>41.5</v>
      </c>
      <c r="E610" s="14">
        <v>0.27</v>
      </c>
      <c r="F610" s="14">
        <v>27</v>
      </c>
      <c r="G610" s="14">
        <v>0</v>
      </c>
      <c r="H610" s="14">
        <v>152</v>
      </c>
      <c r="I610" s="14"/>
    </row>
    <row r="611" spans="1:9" x14ac:dyDescent="0.3">
      <c r="A611" s="14">
        <v>1</v>
      </c>
      <c r="B611" s="14">
        <v>111</v>
      </c>
      <c r="C611" s="14">
        <v>62</v>
      </c>
      <c r="D611" s="14">
        <v>24</v>
      </c>
      <c r="E611" s="14">
        <v>0.13800000000000001</v>
      </c>
      <c r="F611" s="14">
        <v>23</v>
      </c>
      <c r="G611" s="14">
        <v>0</v>
      </c>
      <c r="H611" s="14">
        <v>111</v>
      </c>
      <c r="I611" s="14"/>
    </row>
    <row r="612" spans="1:9" x14ac:dyDescent="0.3">
      <c r="A612" s="14">
        <v>3</v>
      </c>
      <c r="B612" s="14">
        <v>106</v>
      </c>
      <c r="C612" s="14">
        <v>54</v>
      </c>
      <c r="D612" s="14">
        <v>30.9</v>
      </c>
      <c r="E612" s="14">
        <v>0.29199999999999998</v>
      </c>
      <c r="F612" s="14">
        <v>24</v>
      </c>
      <c r="G612" s="14">
        <v>0</v>
      </c>
      <c r="H612" s="14">
        <v>106</v>
      </c>
      <c r="I612" s="14"/>
    </row>
    <row r="613" spans="1:9" x14ac:dyDescent="0.3">
      <c r="A613" s="14">
        <v>3</v>
      </c>
      <c r="B613" s="14">
        <v>174</v>
      </c>
      <c r="C613" s="14">
        <v>58</v>
      </c>
      <c r="D613" s="14">
        <v>32.9</v>
      </c>
      <c r="E613" s="14">
        <v>0.59299999999999997</v>
      </c>
      <c r="F613" s="14">
        <v>36</v>
      </c>
      <c r="G613" s="14">
        <v>1</v>
      </c>
      <c r="H613" s="14" t="s">
        <v>36</v>
      </c>
      <c r="I613" s="14">
        <v>174</v>
      </c>
    </row>
    <row r="614" spans="1:9" x14ac:dyDescent="0.3">
      <c r="A614" s="14">
        <v>7</v>
      </c>
      <c r="B614" s="14">
        <v>168</v>
      </c>
      <c r="C614" s="14">
        <v>88</v>
      </c>
      <c r="D614" s="14">
        <v>38.200000000000003</v>
      </c>
      <c r="E614" s="14">
        <v>0.78700000000000003</v>
      </c>
      <c r="F614" s="14">
        <v>40</v>
      </c>
      <c r="G614" s="14">
        <v>1</v>
      </c>
      <c r="H614" s="14" t="s">
        <v>36</v>
      </c>
      <c r="I614" s="14">
        <v>168</v>
      </c>
    </row>
    <row r="615" spans="1:9" x14ac:dyDescent="0.3">
      <c r="A615" s="14">
        <v>6</v>
      </c>
      <c r="B615" s="14">
        <v>105</v>
      </c>
      <c r="C615" s="14">
        <v>80</v>
      </c>
      <c r="D615" s="14">
        <v>32.5</v>
      </c>
      <c r="E615" s="14">
        <v>0.878</v>
      </c>
      <c r="F615" s="14">
        <v>26</v>
      </c>
      <c r="G615" s="14">
        <v>0</v>
      </c>
      <c r="H615" s="14">
        <v>105</v>
      </c>
      <c r="I615" s="14"/>
    </row>
    <row r="616" spans="1:9" x14ac:dyDescent="0.3">
      <c r="A616" s="14">
        <v>11</v>
      </c>
      <c r="B616" s="14">
        <v>138</v>
      </c>
      <c r="C616" s="14">
        <v>74</v>
      </c>
      <c r="D616" s="14">
        <v>36.1</v>
      </c>
      <c r="E616" s="14">
        <v>0.55700000000000005</v>
      </c>
      <c r="F616" s="14">
        <v>50</v>
      </c>
      <c r="G616" s="14">
        <v>1</v>
      </c>
      <c r="H616" s="14" t="s">
        <v>36</v>
      </c>
      <c r="I616" s="14">
        <v>138</v>
      </c>
    </row>
    <row r="617" spans="1:9" x14ac:dyDescent="0.3">
      <c r="A617" s="14">
        <v>3</v>
      </c>
      <c r="B617" s="14">
        <v>106</v>
      </c>
      <c r="C617" s="14">
        <v>72</v>
      </c>
      <c r="D617" s="14">
        <v>25.8</v>
      </c>
      <c r="E617" s="14">
        <v>0.20699999999999999</v>
      </c>
      <c r="F617" s="14">
        <v>27</v>
      </c>
      <c r="G617" s="14">
        <v>0</v>
      </c>
      <c r="H617" s="14">
        <v>106</v>
      </c>
      <c r="I617" s="14"/>
    </row>
    <row r="618" spans="1:9" x14ac:dyDescent="0.3">
      <c r="A618" s="14">
        <v>6</v>
      </c>
      <c r="B618" s="14">
        <v>117</v>
      </c>
      <c r="C618" s="14">
        <v>96</v>
      </c>
      <c r="D618" s="14">
        <v>28.7</v>
      </c>
      <c r="E618" s="14">
        <v>0.157</v>
      </c>
      <c r="F618" s="14">
        <v>30</v>
      </c>
      <c r="G618" s="14">
        <v>0</v>
      </c>
      <c r="H618" s="14">
        <v>117</v>
      </c>
      <c r="I618" s="14"/>
    </row>
    <row r="619" spans="1:9" x14ac:dyDescent="0.3">
      <c r="A619" s="14">
        <v>2</v>
      </c>
      <c r="B619" s="14">
        <v>68</v>
      </c>
      <c r="C619" s="14">
        <v>62</v>
      </c>
      <c r="D619" s="14">
        <v>20.100000000000001</v>
      </c>
      <c r="E619" s="14">
        <v>0.25700000000000001</v>
      </c>
      <c r="F619" s="14">
        <v>23</v>
      </c>
      <c r="G619" s="14">
        <v>0</v>
      </c>
      <c r="H619" s="14">
        <v>68</v>
      </c>
      <c r="I619" s="14"/>
    </row>
    <row r="620" spans="1:9" x14ac:dyDescent="0.3">
      <c r="A620" s="14">
        <v>9</v>
      </c>
      <c r="B620" s="14">
        <v>112</v>
      </c>
      <c r="C620" s="14">
        <v>82</v>
      </c>
      <c r="D620" s="14">
        <v>28.2</v>
      </c>
      <c r="E620" s="14">
        <v>1.282</v>
      </c>
      <c r="F620" s="14">
        <v>50</v>
      </c>
      <c r="G620" s="14">
        <v>1</v>
      </c>
      <c r="H620" s="14" t="s">
        <v>36</v>
      </c>
      <c r="I620" s="14">
        <v>112</v>
      </c>
    </row>
    <row r="621" spans="1:9" x14ac:dyDescent="0.3">
      <c r="A621" s="14">
        <v>0</v>
      </c>
      <c r="B621" s="14">
        <v>119</v>
      </c>
      <c r="C621" s="14">
        <v>72</v>
      </c>
      <c r="D621" s="14">
        <v>32.4</v>
      </c>
      <c r="E621" s="14">
        <v>0.14099999999999999</v>
      </c>
      <c r="F621" s="14">
        <v>24</v>
      </c>
      <c r="G621" s="14">
        <v>1</v>
      </c>
      <c r="H621" s="14" t="s">
        <v>36</v>
      </c>
      <c r="I621" s="14">
        <v>119</v>
      </c>
    </row>
    <row r="622" spans="1:9" x14ac:dyDescent="0.3">
      <c r="A622" s="14">
        <v>2</v>
      </c>
      <c r="B622" s="14">
        <v>112</v>
      </c>
      <c r="C622" s="14">
        <v>86</v>
      </c>
      <c r="D622" s="14">
        <v>38.4</v>
      </c>
      <c r="E622" s="14">
        <v>0.246</v>
      </c>
      <c r="F622" s="14">
        <v>28</v>
      </c>
      <c r="G622" s="14">
        <v>0</v>
      </c>
      <c r="H622" s="14">
        <v>112</v>
      </c>
      <c r="I622" s="14"/>
    </row>
    <row r="623" spans="1:9" x14ac:dyDescent="0.3">
      <c r="A623" s="14">
        <v>2</v>
      </c>
      <c r="B623" s="14">
        <v>92</v>
      </c>
      <c r="C623" s="14">
        <v>76</v>
      </c>
      <c r="D623" s="14">
        <v>24.2</v>
      </c>
      <c r="E623" s="14">
        <v>1.698</v>
      </c>
      <c r="F623" s="14">
        <v>28</v>
      </c>
      <c r="G623" s="14">
        <v>0</v>
      </c>
      <c r="H623" s="14">
        <v>92</v>
      </c>
      <c r="I623" s="14"/>
    </row>
    <row r="624" spans="1:9" x14ac:dyDescent="0.3">
      <c r="A624" s="14">
        <v>6</v>
      </c>
      <c r="B624" s="14">
        <v>183</v>
      </c>
      <c r="C624" s="14">
        <v>94</v>
      </c>
      <c r="D624" s="14">
        <v>40.799999999999997</v>
      </c>
      <c r="E624" s="14">
        <v>1.4610000000000001</v>
      </c>
      <c r="F624" s="14">
        <v>45</v>
      </c>
      <c r="G624" s="14">
        <v>0</v>
      </c>
      <c r="H624" s="14">
        <v>183</v>
      </c>
      <c r="I624" s="14"/>
    </row>
    <row r="625" spans="1:9" x14ac:dyDescent="0.3">
      <c r="A625" s="14">
        <v>0</v>
      </c>
      <c r="B625" s="14">
        <v>94</v>
      </c>
      <c r="C625" s="14">
        <v>70</v>
      </c>
      <c r="D625" s="14">
        <v>43.5</v>
      </c>
      <c r="E625" s="14">
        <v>0.34699999999999998</v>
      </c>
      <c r="F625" s="14">
        <v>21</v>
      </c>
      <c r="G625" s="14">
        <v>0</v>
      </c>
      <c r="H625" s="14">
        <v>94</v>
      </c>
      <c r="I625" s="14"/>
    </row>
    <row r="626" spans="1:9" x14ac:dyDescent="0.3">
      <c r="A626" s="14">
        <v>2</v>
      </c>
      <c r="B626" s="14">
        <v>108</v>
      </c>
      <c r="C626" s="14">
        <v>64</v>
      </c>
      <c r="D626" s="14">
        <v>30.8</v>
      </c>
      <c r="E626" s="14">
        <v>0.158</v>
      </c>
      <c r="F626" s="14">
        <v>21</v>
      </c>
      <c r="G626" s="14">
        <v>0</v>
      </c>
      <c r="H626" s="14">
        <v>108</v>
      </c>
      <c r="I626" s="14"/>
    </row>
    <row r="627" spans="1:9" x14ac:dyDescent="0.3">
      <c r="A627" s="14">
        <v>4</v>
      </c>
      <c r="B627" s="14">
        <v>90</v>
      </c>
      <c r="C627" s="14">
        <v>88</v>
      </c>
      <c r="D627" s="14">
        <v>37.700000000000003</v>
      </c>
      <c r="E627" s="14">
        <v>0.36199999999999999</v>
      </c>
      <c r="F627" s="14">
        <v>29</v>
      </c>
      <c r="G627" s="14">
        <v>0</v>
      </c>
      <c r="H627" s="14">
        <v>90</v>
      </c>
      <c r="I627" s="14"/>
    </row>
    <row r="628" spans="1:9" x14ac:dyDescent="0.3">
      <c r="A628" s="14">
        <v>0</v>
      </c>
      <c r="B628" s="14">
        <v>125</v>
      </c>
      <c r="C628" s="14">
        <v>68</v>
      </c>
      <c r="D628" s="14">
        <v>24.7</v>
      </c>
      <c r="E628" s="14">
        <v>0.20599999999999999</v>
      </c>
      <c r="F628" s="14">
        <v>21</v>
      </c>
      <c r="G628" s="14">
        <v>0</v>
      </c>
      <c r="H628" s="14">
        <v>125</v>
      </c>
      <c r="I628" s="14"/>
    </row>
    <row r="629" spans="1:9" x14ac:dyDescent="0.3">
      <c r="A629" s="14">
        <v>0</v>
      </c>
      <c r="B629" s="14">
        <v>132</v>
      </c>
      <c r="C629" s="14">
        <v>78</v>
      </c>
      <c r="D629" s="14">
        <v>32.4</v>
      </c>
      <c r="E629" s="14">
        <v>0.39300000000000002</v>
      </c>
      <c r="F629" s="14">
        <v>21</v>
      </c>
      <c r="G629" s="14">
        <v>0</v>
      </c>
      <c r="H629" s="14">
        <v>132</v>
      </c>
      <c r="I629" s="14"/>
    </row>
    <row r="630" spans="1:9" x14ac:dyDescent="0.3">
      <c r="A630" s="14">
        <v>5</v>
      </c>
      <c r="B630" s="14">
        <v>128</v>
      </c>
      <c r="C630" s="14">
        <v>80</v>
      </c>
      <c r="D630" s="14">
        <v>34.6</v>
      </c>
      <c r="E630" s="14">
        <v>0.14399999999999999</v>
      </c>
      <c r="F630" s="14">
        <v>45</v>
      </c>
      <c r="G630" s="14">
        <v>0</v>
      </c>
      <c r="H630" s="14">
        <v>128</v>
      </c>
      <c r="I630" s="14"/>
    </row>
    <row r="631" spans="1:9" x14ac:dyDescent="0.3">
      <c r="A631" s="14">
        <v>4</v>
      </c>
      <c r="B631" s="14">
        <v>94</v>
      </c>
      <c r="C631" s="14">
        <v>65</v>
      </c>
      <c r="D631" s="14">
        <v>24.7</v>
      </c>
      <c r="E631" s="14">
        <v>0.14799999999999999</v>
      </c>
      <c r="F631" s="14">
        <v>21</v>
      </c>
      <c r="G631" s="14">
        <v>0</v>
      </c>
      <c r="H631" s="14">
        <v>94</v>
      </c>
      <c r="I631" s="14"/>
    </row>
    <row r="632" spans="1:9" x14ac:dyDescent="0.3">
      <c r="A632" s="14">
        <v>7</v>
      </c>
      <c r="B632" s="14">
        <v>114</v>
      </c>
      <c r="C632" s="14">
        <v>64</v>
      </c>
      <c r="D632" s="14">
        <v>27.4</v>
      </c>
      <c r="E632" s="14">
        <v>0.73199999999999998</v>
      </c>
      <c r="F632" s="14">
        <v>34</v>
      </c>
      <c r="G632" s="14">
        <v>1</v>
      </c>
      <c r="H632" s="14" t="s">
        <v>36</v>
      </c>
      <c r="I632" s="14">
        <v>114</v>
      </c>
    </row>
    <row r="633" spans="1:9" x14ac:dyDescent="0.3">
      <c r="A633" s="14">
        <v>0</v>
      </c>
      <c r="B633" s="14">
        <v>102</v>
      </c>
      <c r="C633" s="14">
        <v>78</v>
      </c>
      <c r="D633" s="14">
        <v>34.5</v>
      </c>
      <c r="E633" s="14">
        <v>0.23799999999999999</v>
      </c>
      <c r="F633" s="14">
        <v>24</v>
      </c>
      <c r="G633" s="14">
        <v>0</v>
      </c>
      <c r="H633" s="14">
        <v>102</v>
      </c>
      <c r="I633" s="14"/>
    </row>
    <row r="634" spans="1:9" x14ac:dyDescent="0.3">
      <c r="A634" s="14">
        <v>2</v>
      </c>
      <c r="B634" s="14">
        <v>111</v>
      </c>
      <c r="C634" s="14">
        <v>60</v>
      </c>
      <c r="D634" s="14">
        <v>26.2</v>
      </c>
      <c r="E634" s="14">
        <v>0.34300000000000003</v>
      </c>
      <c r="F634" s="14">
        <v>23</v>
      </c>
      <c r="G634" s="14">
        <v>0</v>
      </c>
      <c r="H634" s="14">
        <v>111</v>
      </c>
      <c r="I634" s="14"/>
    </row>
    <row r="635" spans="1:9" x14ac:dyDescent="0.3">
      <c r="A635" s="14">
        <v>1</v>
      </c>
      <c r="B635" s="14">
        <v>128</v>
      </c>
      <c r="C635" s="14">
        <v>82</v>
      </c>
      <c r="D635" s="14">
        <v>27.5</v>
      </c>
      <c r="E635" s="14">
        <v>0.115</v>
      </c>
      <c r="F635" s="14">
        <v>22</v>
      </c>
      <c r="G635" s="14">
        <v>0</v>
      </c>
      <c r="H635" s="14">
        <v>128</v>
      </c>
      <c r="I635" s="14"/>
    </row>
    <row r="636" spans="1:9" x14ac:dyDescent="0.3">
      <c r="A636" s="14">
        <v>10</v>
      </c>
      <c r="B636" s="14">
        <v>92</v>
      </c>
      <c r="C636" s="14">
        <v>62</v>
      </c>
      <c r="D636" s="14">
        <v>25.9</v>
      </c>
      <c r="E636" s="14">
        <v>0.16700000000000001</v>
      </c>
      <c r="F636" s="14">
        <v>31</v>
      </c>
      <c r="G636" s="14">
        <v>0</v>
      </c>
      <c r="H636" s="14">
        <v>92</v>
      </c>
      <c r="I636" s="14"/>
    </row>
    <row r="637" spans="1:9" x14ac:dyDescent="0.3">
      <c r="A637" s="14">
        <v>13</v>
      </c>
      <c r="B637" s="14">
        <v>104</v>
      </c>
      <c r="C637" s="14">
        <v>72</v>
      </c>
      <c r="D637" s="14">
        <v>31.2</v>
      </c>
      <c r="E637" s="14">
        <v>0.46500000000000002</v>
      </c>
      <c r="F637" s="14">
        <v>38</v>
      </c>
      <c r="G637" s="14">
        <v>1</v>
      </c>
      <c r="H637" s="14" t="s">
        <v>36</v>
      </c>
      <c r="I637" s="14">
        <v>104</v>
      </c>
    </row>
    <row r="638" spans="1:9" x14ac:dyDescent="0.3">
      <c r="A638" s="14">
        <v>5</v>
      </c>
      <c r="B638" s="14">
        <v>104</v>
      </c>
      <c r="C638" s="14">
        <v>74</v>
      </c>
      <c r="D638" s="14">
        <v>28.8</v>
      </c>
      <c r="E638" s="14">
        <v>0.153</v>
      </c>
      <c r="F638" s="14">
        <v>48</v>
      </c>
      <c r="G638" s="14">
        <v>0</v>
      </c>
      <c r="H638" s="14">
        <v>104</v>
      </c>
      <c r="I638" s="14"/>
    </row>
    <row r="639" spans="1:9" x14ac:dyDescent="0.3">
      <c r="A639" s="14">
        <v>2</v>
      </c>
      <c r="B639" s="14">
        <v>94</v>
      </c>
      <c r="C639" s="14">
        <v>76</v>
      </c>
      <c r="D639" s="14">
        <v>31.6</v>
      </c>
      <c r="E639" s="14">
        <v>0.64900000000000002</v>
      </c>
      <c r="F639" s="14">
        <v>23</v>
      </c>
      <c r="G639" s="14">
        <v>0</v>
      </c>
      <c r="H639" s="14">
        <v>94</v>
      </c>
      <c r="I639" s="14"/>
    </row>
    <row r="640" spans="1:9" x14ac:dyDescent="0.3">
      <c r="A640" s="14">
        <v>7</v>
      </c>
      <c r="B640" s="14">
        <v>97</v>
      </c>
      <c r="C640" s="14">
        <v>76</v>
      </c>
      <c r="D640" s="14">
        <v>40.9</v>
      </c>
      <c r="E640" s="14">
        <v>0.871</v>
      </c>
      <c r="F640" s="14">
        <v>32</v>
      </c>
      <c r="G640" s="14">
        <v>1</v>
      </c>
      <c r="H640" s="14" t="s">
        <v>36</v>
      </c>
      <c r="I640" s="14">
        <v>97</v>
      </c>
    </row>
    <row r="641" spans="1:9" x14ac:dyDescent="0.3">
      <c r="A641" s="14">
        <v>1</v>
      </c>
      <c r="B641" s="14">
        <v>100</v>
      </c>
      <c r="C641" s="14">
        <v>74</v>
      </c>
      <c r="D641" s="14">
        <v>19.5</v>
      </c>
      <c r="E641" s="14">
        <v>0.14899999999999999</v>
      </c>
      <c r="F641" s="14">
        <v>28</v>
      </c>
      <c r="G641" s="14">
        <v>0</v>
      </c>
      <c r="H641" s="14">
        <v>100</v>
      </c>
      <c r="I641" s="14"/>
    </row>
    <row r="642" spans="1:9" x14ac:dyDescent="0.3">
      <c r="A642" s="14">
        <v>0</v>
      </c>
      <c r="B642" s="14">
        <v>102</v>
      </c>
      <c r="C642" s="14">
        <v>86</v>
      </c>
      <c r="D642" s="14">
        <v>29.3</v>
      </c>
      <c r="E642" s="14">
        <v>0.69499999999999995</v>
      </c>
      <c r="F642" s="14">
        <v>27</v>
      </c>
      <c r="G642" s="14">
        <v>0</v>
      </c>
      <c r="H642" s="14">
        <v>102</v>
      </c>
      <c r="I642" s="14"/>
    </row>
    <row r="643" spans="1:9" x14ac:dyDescent="0.3">
      <c r="A643" s="14">
        <v>4</v>
      </c>
      <c r="B643" s="14">
        <v>128</v>
      </c>
      <c r="C643" s="14">
        <v>70</v>
      </c>
      <c r="D643" s="14">
        <v>34.299999999999997</v>
      </c>
      <c r="E643" s="14">
        <v>0.30299999999999999</v>
      </c>
      <c r="F643" s="14">
        <v>24</v>
      </c>
      <c r="G643" s="14">
        <v>0</v>
      </c>
      <c r="H643" s="14">
        <v>128</v>
      </c>
      <c r="I643" s="14"/>
    </row>
    <row r="644" spans="1:9" x14ac:dyDescent="0.3">
      <c r="A644" s="14">
        <v>6</v>
      </c>
      <c r="B644" s="14">
        <v>147</v>
      </c>
      <c r="C644" s="14">
        <v>80</v>
      </c>
      <c r="D644" s="14">
        <v>29.5</v>
      </c>
      <c r="E644" s="14">
        <v>0.17799999999999999</v>
      </c>
      <c r="F644" s="14">
        <v>50</v>
      </c>
      <c r="G644" s="14">
        <v>1</v>
      </c>
      <c r="H644" s="14" t="s">
        <v>36</v>
      </c>
      <c r="I644" s="14">
        <v>147</v>
      </c>
    </row>
    <row r="645" spans="1:9" x14ac:dyDescent="0.3">
      <c r="A645" s="14">
        <v>4</v>
      </c>
      <c r="B645" s="14">
        <v>90</v>
      </c>
      <c r="C645" s="14">
        <v>72</v>
      </c>
      <c r="D645" s="14">
        <v>28</v>
      </c>
      <c r="E645" s="14">
        <v>0.61</v>
      </c>
      <c r="F645" s="14">
        <v>31</v>
      </c>
      <c r="G645" s="14">
        <v>0</v>
      </c>
      <c r="H645" s="14">
        <v>90</v>
      </c>
      <c r="I645" s="14"/>
    </row>
    <row r="646" spans="1:9" x14ac:dyDescent="0.3">
      <c r="A646" s="14">
        <v>3</v>
      </c>
      <c r="B646" s="14">
        <v>103</v>
      </c>
      <c r="C646" s="14">
        <v>72</v>
      </c>
      <c r="D646" s="14">
        <v>27.6</v>
      </c>
      <c r="E646" s="14">
        <v>0.73</v>
      </c>
      <c r="F646" s="14">
        <v>27</v>
      </c>
      <c r="G646" s="14">
        <v>0</v>
      </c>
      <c r="H646" s="14">
        <v>103</v>
      </c>
      <c r="I646" s="14"/>
    </row>
    <row r="647" spans="1:9" x14ac:dyDescent="0.3">
      <c r="A647" s="14">
        <v>2</v>
      </c>
      <c r="B647" s="14">
        <v>157</v>
      </c>
      <c r="C647" s="14">
        <v>74</v>
      </c>
      <c r="D647" s="14">
        <v>39.4</v>
      </c>
      <c r="E647" s="14">
        <v>0.13400000000000001</v>
      </c>
      <c r="F647" s="14">
        <v>30</v>
      </c>
      <c r="G647" s="14">
        <v>0</v>
      </c>
      <c r="H647" s="14">
        <v>157</v>
      </c>
      <c r="I647" s="14"/>
    </row>
    <row r="648" spans="1:9" x14ac:dyDescent="0.3">
      <c r="A648" s="14">
        <v>1</v>
      </c>
      <c r="B648" s="14">
        <v>167</v>
      </c>
      <c r="C648" s="14">
        <v>74</v>
      </c>
      <c r="D648" s="14">
        <v>23.4</v>
      </c>
      <c r="E648" s="14">
        <v>0.44700000000000001</v>
      </c>
      <c r="F648" s="14">
        <v>33</v>
      </c>
      <c r="G648" s="14">
        <v>1</v>
      </c>
      <c r="H648" s="14" t="s">
        <v>36</v>
      </c>
      <c r="I648" s="14">
        <v>167</v>
      </c>
    </row>
    <row r="649" spans="1:9" x14ac:dyDescent="0.3">
      <c r="A649" s="14">
        <v>0</v>
      </c>
      <c r="B649" s="14">
        <v>179</v>
      </c>
      <c r="C649" s="14">
        <v>50</v>
      </c>
      <c r="D649" s="14">
        <v>37.799999999999997</v>
      </c>
      <c r="E649" s="14">
        <v>0.45500000000000002</v>
      </c>
      <c r="F649" s="14">
        <v>22</v>
      </c>
      <c r="G649" s="14">
        <v>1</v>
      </c>
      <c r="H649" s="14" t="s">
        <v>36</v>
      </c>
      <c r="I649" s="14">
        <v>179</v>
      </c>
    </row>
    <row r="650" spans="1:9" x14ac:dyDescent="0.3">
      <c r="A650" s="14">
        <v>11</v>
      </c>
      <c r="B650" s="14">
        <v>136</v>
      </c>
      <c r="C650" s="14">
        <v>84</v>
      </c>
      <c r="D650" s="14">
        <v>28.3</v>
      </c>
      <c r="E650" s="14">
        <v>0.26</v>
      </c>
      <c r="F650" s="14">
        <v>42</v>
      </c>
      <c r="G650" s="14">
        <v>1</v>
      </c>
      <c r="H650" s="14" t="s">
        <v>36</v>
      </c>
      <c r="I650" s="14">
        <v>136</v>
      </c>
    </row>
    <row r="651" spans="1:9" x14ac:dyDescent="0.3">
      <c r="A651" s="14">
        <v>0</v>
      </c>
      <c r="B651" s="14">
        <v>107</v>
      </c>
      <c r="C651" s="14">
        <v>60</v>
      </c>
      <c r="D651" s="14">
        <v>26.4</v>
      </c>
      <c r="E651" s="14">
        <v>0.13300000000000001</v>
      </c>
      <c r="F651" s="14">
        <v>23</v>
      </c>
      <c r="G651" s="14">
        <v>0</v>
      </c>
      <c r="H651" s="14">
        <v>107</v>
      </c>
      <c r="I651" s="14"/>
    </row>
    <row r="652" spans="1:9" x14ac:dyDescent="0.3">
      <c r="A652" s="14">
        <v>1</v>
      </c>
      <c r="B652" s="14">
        <v>91</v>
      </c>
      <c r="C652" s="14">
        <v>54</v>
      </c>
      <c r="D652" s="14">
        <v>25.2</v>
      </c>
      <c r="E652" s="14">
        <v>0.23400000000000001</v>
      </c>
      <c r="F652" s="14">
        <v>23</v>
      </c>
      <c r="G652" s="14">
        <v>0</v>
      </c>
      <c r="H652" s="14">
        <v>91</v>
      </c>
      <c r="I652" s="14"/>
    </row>
    <row r="653" spans="1:9" x14ac:dyDescent="0.3">
      <c r="A653" s="14">
        <v>1</v>
      </c>
      <c r="B653" s="14">
        <v>117</v>
      </c>
      <c r="C653" s="14">
        <v>60</v>
      </c>
      <c r="D653" s="14">
        <v>33.799999999999997</v>
      </c>
      <c r="E653" s="14">
        <v>0.46600000000000003</v>
      </c>
      <c r="F653" s="14">
        <v>27</v>
      </c>
      <c r="G653" s="14">
        <v>0</v>
      </c>
      <c r="H653" s="14">
        <v>117</v>
      </c>
      <c r="I653" s="14"/>
    </row>
    <row r="654" spans="1:9" x14ac:dyDescent="0.3">
      <c r="A654" s="14">
        <v>5</v>
      </c>
      <c r="B654" s="14">
        <v>123</v>
      </c>
      <c r="C654" s="14">
        <v>74</v>
      </c>
      <c r="D654" s="14">
        <v>34.1</v>
      </c>
      <c r="E654" s="14">
        <v>0.26900000000000002</v>
      </c>
      <c r="F654" s="14">
        <v>28</v>
      </c>
      <c r="G654" s="14">
        <v>0</v>
      </c>
      <c r="H654" s="14">
        <v>123</v>
      </c>
      <c r="I654" s="14"/>
    </row>
    <row r="655" spans="1:9" x14ac:dyDescent="0.3">
      <c r="A655" s="14">
        <v>2</v>
      </c>
      <c r="B655" s="14">
        <v>120</v>
      </c>
      <c r="C655" s="14">
        <v>54</v>
      </c>
      <c r="D655" s="14">
        <v>26.8</v>
      </c>
      <c r="E655" s="14">
        <v>0.45500000000000002</v>
      </c>
      <c r="F655" s="14">
        <v>27</v>
      </c>
      <c r="G655" s="14">
        <v>0</v>
      </c>
      <c r="H655" s="14">
        <v>120</v>
      </c>
      <c r="I655" s="14"/>
    </row>
    <row r="656" spans="1:9" x14ac:dyDescent="0.3">
      <c r="A656" s="14">
        <v>1</v>
      </c>
      <c r="B656" s="14">
        <v>106</v>
      </c>
      <c r="C656" s="14">
        <v>70</v>
      </c>
      <c r="D656" s="14">
        <v>34.200000000000003</v>
      </c>
      <c r="E656" s="14">
        <v>0.14199999999999999</v>
      </c>
      <c r="F656" s="14">
        <v>22</v>
      </c>
      <c r="G656" s="14">
        <v>0</v>
      </c>
      <c r="H656" s="14">
        <v>106</v>
      </c>
      <c r="I656" s="14"/>
    </row>
    <row r="657" spans="1:9" x14ac:dyDescent="0.3">
      <c r="A657" s="14">
        <v>2</v>
      </c>
      <c r="B657" s="14">
        <v>155</v>
      </c>
      <c r="C657" s="14">
        <v>52</v>
      </c>
      <c r="D657" s="14">
        <v>38.700000000000003</v>
      </c>
      <c r="E657" s="14">
        <v>0.24</v>
      </c>
      <c r="F657" s="14">
        <v>25</v>
      </c>
      <c r="G657" s="14">
        <v>1</v>
      </c>
      <c r="H657" s="14" t="s">
        <v>36</v>
      </c>
      <c r="I657" s="14">
        <v>155</v>
      </c>
    </row>
    <row r="658" spans="1:9" x14ac:dyDescent="0.3">
      <c r="A658" s="14">
        <v>2</v>
      </c>
      <c r="B658" s="14">
        <v>101</v>
      </c>
      <c r="C658" s="14">
        <v>58</v>
      </c>
      <c r="D658" s="14">
        <v>21.8</v>
      </c>
      <c r="E658" s="14">
        <v>0.155</v>
      </c>
      <c r="F658" s="14">
        <v>22</v>
      </c>
      <c r="G658" s="14">
        <v>0</v>
      </c>
      <c r="H658" s="14">
        <v>101</v>
      </c>
      <c r="I658" s="14"/>
    </row>
    <row r="659" spans="1:9" x14ac:dyDescent="0.3">
      <c r="A659" s="14">
        <v>1</v>
      </c>
      <c r="B659" s="14">
        <v>120</v>
      </c>
      <c r="C659" s="14">
        <v>80</v>
      </c>
      <c r="D659" s="14">
        <v>38.9</v>
      </c>
      <c r="E659" s="14">
        <v>1.1619999999999999</v>
      </c>
      <c r="F659" s="14">
        <v>41</v>
      </c>
      <c r="G659" s="14">
        <v>0</v>
      </c>
      <c r="H659" s="14">
        <v>120</v>
      </c>
      <c r="I659" s="14"/>
    </row>
    <row r="660" spans="1:9" x14ac:dyDescent="0.3">
      <c r="A660" s="14">
        <v>11</v>
      </c>
      <c r="B660" s="14">
        <v>127</v>
      </c>
      <c r="C660" s="14">
        <v>106</v>
      </c>
      <c r="D660" s="14">
        <v>39</v>
      </c>
      <c r="E660" s="14">
        <v>0.19</v>
      </c>
      <c r="F660" s="14">
        <v>51</v>
      </c>
      <c r="G660" s="14">
        <v>0</v>
      </c>
      <c r="H660" s="14">
        <v>127</v>
      </c>
      <c r="I660" s="14"/>
    </row>
    <row r="661" spans="1:9" x14ac:dyDescent="0.3">
      <c r="A661" s="14">
        <v>3</v>
      </c>
      <c r="B661" s="14">
        <v>80</v>
      </c>
      <c r="C661" s="14">
        <v>82</v>
      </c>
      <c r="D661" s="14">
        <v>34.200000000000003</v>
      </c>
      <c r="E661" s="14">
        <v>1.292</v>
      </c>
      <c r="F661" s="14">
        <v>27</v>
      </c>
      <c r="G661" s="14">
        <v>1</v>
      </c>
      <c r="H661" s="14" t="s">
        <v>36</v>
      </c>
      <c r="I661" s="14">
        <v>80</v>
      </c>
    </row>
    <row r="662" spans="1:9" x14ac:dyDescent="0.3">
      <c r="A662" s="14">
        <v>10</v>
      </c>
      <c r="B662" s="14">
        <v>162</v>
      </c>
      <c r="C662" s="14">
        <v>84</v>
      </c>
      <c r="D662" s="14">
        <v>27.7</v>
      </c>
      <c r="E662" s="14">
        <v>0.182</v>
      </c>
      <c r="F662" s="14">
        <v>54</v>
      </c>
      <c r="G662" s="14">
        <v>0</v>
      </c>
      <c r="H662" s="14">
        <v>162</v>
      </c>
      <c r="I662" s="14"/>
    </row>
    <row r="663" spans="1:9" x14ac:dyDescent="0.3">
      <c r="A663" s="14">
        <v>1</v>
      </c>
      <c r="B663" s="14">
        <v>199</v>
      </c>
      <c r="C663" s="14">
        <v>76</v>
      </c>
      <c r="D663" s="14">
        <v>42.9</v>
      </c>
      <c r="E663" s="14">
        <v>1.3939999999999999</v>
      </c>
      <c r="F663" s="14">
        <v>22</v>
      </c>
      <c r="G663" s="14">
        <v>1</v>
      </c>
      <c r="H663" s="14" t="s">
        <v>36</v>
      </c>
      <c r="I663" s="14">
        <v>199</v>
      </c>
    </row>
    <row r="664" spans="1:9" x14ac:dyDescent="0.3">
      <c r="A664" s="14">
        <v>8</v>
      </c>
      <c r="B664" s="14">
        <v>167</v>
      </c>
      <c r="C664" s="14">
        <v>106</v>
      </c>
      <c r="D664" s="14">
        <v>37.6</v>
      </c>
      <c r="E664" s="14">
        <v>0.16500000000000001</v>
      </c>
      <c r="F664" s="14">
        <v>43</v>
      </c>
      <c r="G664" s="14">
        <v>1</v>
      </c>
      <c r="H664" s="14" t="s">
        <v>36</v>
      </c>
      <c r="I664" s="14">
        <v>167</v>
      </c>
    </row>
    <row r="665" spans="1:9" x14ac:dyDescent="0.3">
      <c r="A665" s="14">
        <v>9</v>
      </c>
      <c r="B665" s="14">
        <v>145</v>
      </c>
      <c r="C665" s="14">
        <v>80</v>
      </c>
      <c r="D665" s="14">
        <v>37.9</v>
      </c>
      <c r="E665" s="14">
        <v>0.63700000000000001</v>
      </c>
      <c r="F665" s="14">
        <v>40</v>
      </c>
      <c r="G665" s="14">
        <v>1</v>
      </c>
      <c r="H665" s="14" t="s">
        <v>36</v>
      </c>
      <c r="I665" s="14">
        <v>145</v>
      </c>
    </row>
    <row r="666" spans="1:9" x14ac:dyDescent="0.3">
      <c r="A666" s="14">
        <v>6</v>
      </c>
      <c r="B666" s="14">
        <v>115</v>
      </c>
      <c r="C666" s="14">
        <v>60</v>
      </c>
      <c r="D666" s="14">
        <v>33.700000000000003</v>
      </c>
      <c r="E666" s="14">
        <v>0.245</v>
      </c>
      <c r="F666" s="14">
        <v>40</v>
      </c>
      <c r="G666" s="14">
        <v>1</v>
      </c>
      <c r="H666" s="14" t="s">
        <v>36</v>
      </c>
      <c r="I666" s="14">
        <v>115</v>
      </c>
    </row>
    <row r="667" spans="1:9" x14ac:dyDescent="0.3">
      <c r="A667" s="14">
        <v>1</v>
      </c>
      <c r="B667" s="14">
        <v>112</v>
      </c>
      <c r="C667" s="14">
        <v>80</v>
      </c>
      <c r="D667" s="14">
        <v>34.799999999999997</v>
      </c>
      <c r="E667" s="14">
        <v>0.217</v>
      </c>
      <c r="F667" s="14">
        <v>24</v>
      </c>
      <c r="G667" s="14">
        <v>0</v>
      </c>
      <c r="H667" s="14">
        <v>112</v>
      </c>
      <c r="I667" s="14"/>
    </row>
    <row r="668" spans="1:9" x14ac:dyDescent="0.3">
      <c r="A668" s="14">
        <v>4</v>
      </c>
      <c r="B668" s="14">
        <v>145</v>
      </c>
      <c r="C668" s="14">
        <v>82</v>
      </c>
      <c r="D668" s="14">
        <v>32.5</v>
      </c>
      <c r="E668" s="14">
        <v>0.23499999999999999</v>
      </c>
      <c r="F668" s="14">
        <v>70</v>
      </c>
      <c r="G668" s="14">
        <v>1</v>
      </c>
      <c r="H668" s="14" t="s">
        <v>36</v>
      </c>
      <c r="I668" s="14">
        <v>145</v>
      </c>
    </row>
    <row r="669" spans="1:9" x14ac:dyDescent="0.3">
      <c r="A669" s="14">
        <v>10</v>
      </c>
      <c r="B669" s="14">
        <v>111</v>
      </c>
      <c r="C669" s="14">
        <v>70</v>
      </c>
      <c r="D669" s="14">
        <v>27.5</v>
      </c>
      <c r="E669" s="14">
        <v>0.14099999999999999</v>
      </c>
      <c r="F669" s="14">
        <v>40</v>
      </c>
      <c r="G669" s="14">
        <v>1</v>
      </c>
      <c r="H669" s="14" t="s">
        <v>36</v>
      </c>
      <c r="I669" s="14">
        <v>111</v>
      </c>
    </row>
    <row r="670" spans="1:9" x14ac:dyDescent="0.3">
      <c r="A670" s="14">
        <v>6</v>
      </c>
      <c r="B670" s="14">
        <v>98</v>
      </c>
      <c r="C670" s="14">
        <v>58</v>
      </c>
      <c r="D670" s="14">
        <v>34</v>
      </c>
      <c r="E670" s="14">
        <v>0.43</v>
      </c>
      <c r="F670" s="14">
        <v>43</v>
      </c>
      <c r="G670" s="14">
        <v>0</v>
      </c>
      <c r="H670" s="14">
        <v>98</v>
      </c>
      <c r="I670" s="14"/>
    </row>
    <row r="671" spans="1:9" x14ac:dyDescent="0.3">
      <c r="A671" s="14">
        <v>9</v>
      </c>
      <c r="B671" s="14">
        <v>154</v>
      </c>
      <c r="C671" s="14">
        <v>78</v>
      </c>
      <c r="D671" s="14">
        <v>30.9</v>
      </c>
      <c r="E671" s="14">
        <v>0.16400000000000001</v>
      </c>
      <c r="F671" s="14">
        <v>45</v>
      </c>
      <c r="G671" s="14">
        <v>0</v>
      </c>
      <c r="H671" s="14">
        <v>154</v>
      </c>
      <c r="I671" s="14"/>
    </row>
    <row r="672" spans="1:9" x14ac:dyDescent="0.3">
      <c r="A672" s="14">
        <v>6</v>
      </c>
      <c r="B672" s="14">
        <v>165</v>
      </c>
      <c r="C672" s="14">
        <v>68</v>
      </c>
      <c r="D672" s="14">
        <v>33.6</v>
      </c>
      <c r="E672" s="14">
        <v>0.63100000000000001</v>
      </c>
      <c r="F672" s="14">
        <v>49</v>
      </c>
      <c r="G672" s="14">
        <v>0</v>
      </c>
      <c r="H672" s="14">
        <v>165</v>
      </c>
      <c r="I672" s="14"/>
    </row>
    <row r="673" spans="1:9" x14ac:dyDescent="0.3">
      <c r="A673" s="14">
        <v>1</v>
      </c>
      <c r="B673" s="14">
        <v>99</v>
      </c>
      <c r="C673" s="14">
        <v>58</v>
      </c>
      <c r="D673" s="14">
        <v>25.4</v>
      </c>
      <c r="E673" s="14">
        <v>0.55100000000000005</v>
      </c>
      <c r="F673" s="14">
        <v>21</v>
      </c>
      <c r="G673" s="14">
        <v>0</v>
      </c>
      <c r="H673" s="14">
        <v>99</v>
      </c>
      <c r="I673" s="14"/>
    </row>
    <row r="674" spans="1:9" x14ac:dyDescent="0.3">
      <c r="A674" s="14">
        <v>10</v>
      </c>
      <c r="B674" s="14">
        <v>68</v>
      </c>
      <c r="C674" s="14">
        <v>106</v>
      </c>
      <c r="D674" s="14">
        <v>35.5</v>
      </c>
      <c r="E674" s="14">
        <v>0.28499999999999998</v>
      </c>
      <c r="F674" s="14">
        <v>47</v>
      </c>
      <c r="G674" s="14">
        <v>0</v>
      </c>
      <c r="H674" s="14">
        <v>68</v>
      </c>
      <c r="I674" s="14"/>
    </row>
    <row r="675" spans="1:9" x14ac:dyDescent="0.3">
      <c r="A675" s="14">
        <v>3</v>
      </c>
      <c r="B675" s="14">
        <v>123</v>
      </c>
      <c r="C675" s="14">
        <v>100</v>
      </c>
      <c r="D675" s="14">
        <v>57.3</v>
      </c>
      <c r="E675" s="14">
        <v>0.88</v>
      </c>
      <c r="F675" s="14">
        <v>22</v>
      </c>
      <c r="G675" s="14">
        <v>0</v>
      </c>
      <c r="H675" s="14">
        <v>123</v>
      </c>
      <c r="I675" s="14"/>
    </row>
    <row r="676" spans="1:9" x14ac:dyDescent="0.3">
      <c r="A676" s="14">
        <v>8</v>
      </c>
      <c r="B676" s="14">
        <v>91</v>
      </c>
      <c r="C676" s="14">
        <v>82</v>
      </c>
      <c r="D676" s="14">
        <v>35.6</v>
      </c>
      <c r="E676" s="14">
        <v>0.58699999999999997</v>
      </c>
      <c r="F676" s="14">
        <v>68</v>
      </c>
      <c r="G676" s="14">
        <v>0</v>
      </c>
      <c r="H676" s="14">
        <v>91</v>
      </c>
      <c r="I676" s="14"/>
    </row>
    <row r="677" spans="1:9" x14ac:dyDescent="0.3">
      <c r="A677" s="14">
        <v>6</v>
      </c>
      <c r="B677" s="14">
        <v>195</v>
      </c>
      <c r="C677" s="14">
        <v>70</v>
      </c>
      <c r="D677" s="14">
        <v>30.9</v>
      </c>
      <c r="E677" s="14">
        <v>0.32800000000000001</v>
      </c>
      <c r="F677" s="14">
        <v>31</v>
      </c>
      <c r="G677" s="14">
        <v>1</v>
      </c>
      <c r="H677" s="14" t="s">
        <v>36</v>
      </c>
      <c r="I677" s="14">
        <v>195</v>
      </c>
    </row>
    <row r="678" spans="1:9" x14ac:dyDescent="0.3">
      <c r="A678" s="14">
        <v>9</v>
      </c>
      <c r="B678" s="14">
        <v>156</v>
      </c>
      <c r="C678" s="14">
        <v>86</v>
      </c>
      <c r="D678" s="14">
        <v>24.8</v>
      </c>
      <c r="E678" s="14">
        <v>0.23</v>
      </c>
      <c r="F678" s="14">
        <v>53</v>
      </c>
      <c r="G678" s="14">
        <v>1</v>
      </c>
      <c r="H678" s="14" t="s">
        <v>36</v>
      </c>
      <c r="I678" s="14">
        <v>156</v>
      </c>
    </row>
    <row r="679" spans="1:9" x14ac:dyDescent="0.3">
      <c r="A679" s="14">
        <v>0</v>
      </c>
      <c r="B679" s="14">
        <v>93</v>
      </c>
      <c r="C679" s="14">
        <v>60</v>
      </c>
      <c r="D679" s="14">
        <v>35.299999999999997</v>
      </c>
      <c r="E679" s="14">
        <v>0.26300000000000001</v>
      </c>
      <c r="F679" s="14">
        <v>25</v>
      </c>
      <c r="G679" s="14">
        <v>0</v>
      </c>
      <c r="H679" s="14">
        <v>93</v>
      </c>
      <c r="I679" s="14"/>
    </row>
    <row r="680" spans="1:9" x14ac:dyDescent="0.3">
      <c r="A680" s="14">
        <v>3</v>
      </c>
      <c r="B680" s="14">
        <v>121</v>
      </c>
      <c r="C680" s="14">
        <v>52</v>
      </c>
      <c r="D680" s="14">
        <v>36</v>
      </c>
      <c r="E680" s="14">
        <v>0.127</v>
      </c>
      <c r="F680" s="14">
        <v>25</v>
      </c>
      <c r="G680" s="14">
        <v>1</v>
      </c>
      <c r="H680" s="14" t="s">
        <v>36</v>
      </c>
      <c r="I680" s="14">
        <v>121</v>
      </c>
    </row>
    <row r="681" spans="1:9" x14ac:dyDescent="0.3">
      <c r="A681" s="14">
        <v>2</v>
      </c>
      <c r="B681" s="14">
        <v>101</v>
      </c>
      <c r="C681" s="14">
        <v>58</v>
      </c>
      <c r="D681" s="14">
        <v>24.2</v>
      </c>
      <c r="E681" s="14">
        <v>0.61399999999999999</v>
      </c>
      <c r="F681" s="14">
        <v>23</v>
      </c>
      <c r="G681" s="14">
        <v>0</v>
      </c>
      <c r="H681" s="14">
        <v>101</v>
      </c>
      <c r="I681" s="14"/>
    </row>
    <row r="682" spans="1:9" x14ac:dyDescent="0.3">
      <c r="A682" s="14">
        <v>2</v>
      </c>
      <c r="B682" s="14">
        <v>56</v>
      </c>
      <c r="C682" s="14">
        <v>56</v>
      </c>
      <c r="D682" s="14">
        <v>24.2</v>
      </c>
      <c r="E682" s="14">
        <v>0.33200000000000002</v>
      </c>
      <c r="F682" s="14">
        <v>22</v>
      </c>
      <c r="G682" s="14">
        <v>0</v>
      </c>
      <c r="H682" s="14">
        <v>56</v>
      </c>
      <c r="I682" s="14"/>
    </row>
    <row r="683" spans="1:9" x14ac:dyDescent="0.3">
      <c r="A683" s="14">
        <v>0</v>
      </c>
      <c r="B683" s="14">
        <v>162</v>
      </c>
      <c r="C683" s="14">
        <v>76</v>
      </c>
      <c r="D683" s="14">
        <v>49.6</v>
      </c>
      <c r="E683" s="14">
        <v>0.36399999999999999</v>
      </c>
      <c r="F683" s="14">
        <v>26</v>
      </c>
      <c r="G683" s="14">
        <v>1</v>
      </c>
      <c r="H683" s="14" t="s">
        <v>36</v>
      </c>
      <c r="I683" s="14">
        <v>162</v>
      </c>
    </row>
    <row r="684" spans="1:9" x14ac:dyDescent="0.3">
      <c r="A684" s="14">
        <v>0</v>
      </c>
      <c r="B684" s="14">
        <v>95</v>
      </c>
      <c r="C684" s="14">
        <v>64</v>
      </c>
      <c r="D684" s="14">
        <v>44.6</v>
      </c>
      <c r="E684" s="14">
        <v>0.36599999999999999</v>
      </c>
      <c r="F684" s="14">
        <v>22</v>
      </c>
      <c r="G684" s="14">
        <v>0</v>
      </c>
      <c r="H684" s="14">
        <v>95</v>
      </c>
      <c r="I684" s="14"/>
    </row>
    <row r="685" spans="1:9" x14ac:dyDescent="0.3">
      <c r="A685" s="14">
        <v>4</v>
      </c>
      <c r="B685" s="14">
        <v>125</v>
      </c>
      <c r="C685" s="14">
        <v>80</v>
      </c>
      <c r="D685" s="14">
        <v>32.299999999999997</v>
      </c>
      <c r="E685" s="14">
        <v>0.53600000000000003</v>
      </c>
      <c r="F685" s="14">
        <v>27</v>
      </c>
      <c r="G685" s="14">
        <v>1</v>
      </c>
      <c r="H685" s="14" t="s">
        <v>36</v>
      </c>
      <c r="I685" s="14">
        <v>125</v>
      </c>
    </row>
    <row r="686" spans="1:9" x14ac:dyDescent="0.3">
      <c r="A686" s="14">
        <v>5</v>
      </c>
      <c r="B686" s="14">
        <v>136</v>
      </c>
      <c r="C686" s="14">
        <v>82</v>
      </c>
      <c r="D686" s="14">
        <v>32</v>
      </c>
      <c r="E686" s="14">
        <v>0.64</v>
      </c>
      <c r="F686" s="14">
        <v>69</v>
      </c>
      <c r="G686" s="14">
        <v>0</v>
      </c>
      <c r="H686" s="14">
        <v>136</v>
      </c>
      <c r="I686" s="14"/>
    </row>
    <row r="687" spans="1:9" x14ac:dyDescent="0.3">
      <c r="A687" s="14">
        <v>2</v>
      </c>
      <c r="B687" s="14">
        <v>129</v>
      </c>
      <c r="C687" s="14">
        <v>74</v>
      </c>
      <c r="D687" s="14">
        <v>33.200000000000003</v>
      </c>
      <c r="E687" s="14">
        <v>0.59099999999999997</v>
      </c>
      <c r="F687" s="14">
        <v>25</v>
      </c>
      <c r="G687" s="14">
        <v>0</v>
      </c>
      <c r="H687" s="14">
        <v>129</v>
      </c>
      <c r="I687" s="14"/>
    </row>
    <row r="688" spans="1:9" x14ac:dyDescent="0.3">
      <c r="A688" s="14">
        <v>3</v>
      </c>
      <c r="B688" s="14">
        <v>130</v>
      </c>
      <c r="C688" s="14">
        <v>64</v>
      </c>
      <c r="D688" s="14">
        <v>23.1</v>
      </c>
      <c r="E688" s="14">
        <v>0.314</v>
      </c>
      <c r="F688" s="14">
        <v>22</v>
      </c>
      <c r="G688" s="14">
        <v>0</v>
      </c>
      <c r="H688" s="14">
        <v>130</v>
      </c>
      <c r="I688" s="14"/>
    </row>
    <row r="689" spans="1:9" x14ac:dyDescent="0.3">
      <c r="A689" s="14">
        <v>1</v>
      </c>
      <c r="B689" s="14">
        <v>107</v>
      </c>
      <c r="C689" s="14">
        <v>50</v>
      </c>
      <c r="D689" s="14">
        <v>28.3</v>
      </c>
      <c r="E689" s="14">
        <v>0.18099999999999999</v>
      </c>
      <c r="F689" s="14">
        <v>29</v>
      </c>
      <c r="G689" s="14">
        <v>0</v>
      </c>
      <c r="H689" s="14">
        <v>107</v>
      </c>
      <c r="I689" s="14"/>
    </row>
    <row r="690" spans="1:9" x14ac:dyDescent="0.3">
      <c r="A690" s="14">
        <v>1</v>
      </c>
      <c r="B690" s="14">
        <v>140</v>
      </c>
      <c r="C690" s="14">
        <v>74</v>
      </c>
      <c r="D690" s="14">
        <v>24.1</v>
      </c>
      <c r="E690" s="14">
        <v>0.82799999999999996</v>
      </c>
      <c r="F690" s="14">
        <v>23</v>
      </c>
      <c r="G690" s="14">
        <v>0</v>
      </c>
      <c r="H690" s="14">
        <v>140</v>
      </c>
      <c r="I690" s="14"/>
    </row>
    <row r="691" spans="1:9" x14ac:dyDescent="0.3">
      <c r="A691" s="14">
        <v>1</v>
      </c>
      <c r="B691" s="14">
        <v>144</v>
      </c>
      <c r="C691" s="14">
        <v>82</v>
      </c>
      <c r="D691" s="14">
        <v>46.1</v>
      </c>
      <c r="E691" s="14">
        <v>0.33500000000000002</v>
      </c>
      <c r="F691" s="14">
        <v>46</v>
      </c>
      <c r="G691" s="14">
        <v>1</v>
      </c>
      <c r="H691" s="14" t="s">
        <v>36</v>
      </c>
      <c r="I691" s="14">
        <v>144</v>
      </c>
    </row>
    <row r="692" spans="1:9" x14ac:dyDescent="0.3">
      <c r="A692" s="14">
        <v>8</v>
      </c>
      <c r="B692" s="14">
        <v>107</v>
      </c>
      <c r="C692" s="14">
        <v>80</v>
      </c>
      <c r="D692" s="14">
        <v>24.6</v>
      </c>
      <c r="E692" s="14">
        <v>0.85599999999999998</v>
      </c>
      <c r="F692" s="14">
        <v>34</v>
      </c>
      <c r="G692" s="14">
        <v>0</v>
      </c>
      <c r="H692" s="14">
        <v>107</v>
      </c>
      <c r="I692" s="14"/>
    </row>
    <row r="693" spans="1:9" x14ac:dyDescent="0.3">
      <c r="A693" s="14">
        <v>13</v>
      </c>
      <c r="B693" s="14">
        <v>158</v>
      </c>
      <c r="C693" s="14">
        <v>114</v>
      </c>
      <c r="D693" s="14">
        <v>42.3</v>
      </c>
      <c r="E693" s="14">
        <v>0.25700000000000001</v>
      </c>
      <c r="F693" s="14">
        <v>44</v>
      </c>
      <c r="G693" s="14">
        <v>1</v>
      </c>
      <c r="H693" s="14" t="s">
        <v>36</v>
      </c>
      <c r="I693" s="14">
        <v>158</v>
      </c>
    </row>
    <row r="694" spans="1:9" x14ac:dyDescent="0.3">
      <c r="A694" s="14">
        <v>2</v>
      </c>
      <c r="B694" s="14">
        <v>121</v>
      </c>
      <c r="C694" s="14">
        <v>70</v>
      </c>
      <c r="D694" s="14">
        <v>39.1</v>
      </c>
      <c r="E694" s="14">
        <v>0.88600000000000001</v>
      </c>
      <c r="F694" s="14">
        <v>23</v>
      </c>
      <c r="G694" s="14">
        <v>0</v>
      </c>
      <c r="H694" s="14">
        <v>121</v>
      </c>
      <c r="I694" s="14"/>
    </row>
    <row r="695" spans="1:9" x14ac:dyDescent="0.3">
      <c r="A695" s="14">
        <v>7</v>
      </c>
      <c r="B695" s="14">
        <v>129</v>
      </c>
      <c r="C695" s="14">
        <v>68</v>
      </c>
      <c r="D695" s="14">
        <v>38.5</v>
      </c>
      <c r="E695" s="14">
        <v>0.439</v>
      </c>
      <c r="F695" s="14">
        <v>43</v>
      </c>
      <c r="G695" s="14">
        <v>1</v>
      </c>
      <c r="H695" s="14" t="s">
        <v>36</v>
      </c>
      <c r="I695" s="14">
        <v>129</v>
      </c>
    </row>
    <row r="696" spans="1:9" x14ac:dyDescent="0.3">
      <c r="A696" s="14">
        <v>2</v>
      </c>
      <c r="B696" s="14">
        <v>90</v>
      </c>
      <c r="C696" s="14">
        <v>60</v>
      </c>
      <c r="D696" s="14">
        <v>23.5</v>
      </c>
      <c r="E696" s="14">
        <v>0.191</v>
      </c>
      <c r="F696" s="14">
        <v>25</v>
      </c>
      <c r="G696" s="14">
        <v>0</v>
      </c>
      <c r="H696" s="14">
        <v>90</v>
      </c>
      <c r="I696" s="14"/>
    </row>
    <row r="697" spans="1:9" x14ac:dyDescent="0.3">
      <c r="A697" s="14">
        <v>7</v>
      </c>
      <c r="B697" s="14">
        <v>142</v>
      </c>
      <c r="C697" s="14">
        <v>90</v>
      </c>
      <c r="D697" s="14">
        <v>30.4</v>
      </c>
      <c r="E697" s="14">
        <v>0.128</v>
      </c>
      <c r="F697" s="14">
        <v>43</v>
      </c>
      <c r="G697" s="14">
        <v>1</v>
      </c>
      <c r="H697" s="14" t="s">
        <v>36</v>
      </c>
      <c r="I697" s="14">
        <v>142</v>
      </c>
    </row>
    <row r="698" spans="1:9" x14ac:dyDescent="0.3">
      <c r="A698" s="14">
        <v>3</v>
      </c>
      <c r="B698" s="14">
        <v>169</v>
      </c>
      <c r="C698" s="14">
        <v>74</v>
      </c>
      <c r="D698" s="14">
        <v>29.9</v>
      </c>
      <c r="E698" s="14">
        <v>0.26800000000000002</v>
      </c>
      <c r="F698" s="14">
        <v>31</v>
      </c>
      <c r="G698" s="14">
        <v>1</v>
      </c>
      <c r="H698" s="14" t="s">
        <v>36</v>
      </c>
      <c r="I698" s="14">
        <v>169</v>
      </c>
    </row>
    <row r="699" spans="1:9" x14ac:dyDescent="0.3">
      <c r="A699" s="14">
        <v>0</v>
      </c>
      <c r="B699" s="14">
        <v>99</v>
      </c>
      <c r="C699" s="14">
        <v>72</v>
      </c>
      <c r="D699" s="14">
        <v>25</v>
      </c>
      <c r="E699" s="14">
        <v>0.253</v>
      </c>
      <c r="F699" s="14">
        <v>22</v>
      </c>
      <c r="G699" s="14">
        <v>0</v>
      </c>
      <c r="H699" s="14">
        <v>99</v>
      </c>
      <c r="I699" s="14"/>
    </row>
    <row r="700" spans="1:9" x14ac:dyDescent="0.3">
      <c r="A700" s="14">
        <v>4</v>
      </c>
      <c r="B700" s="14">
        <v>127</v>
      </c>
      <c r="C700" s="14">
        <v>88</v>
      </c>
      <c r="D700" s="14">
        <v>34.5</v>
      </c>
      <c r="E700" s="14">
        <v>0.59799999999999998</v>
      </c>
      <c r="F700" s="14">
        <v>28</v>
      </c>
      <c r="G700" s="14">
        <v>0</v>
      </c>
      <c r="H700" s="14">
        <v>127</v>
      </c>
      <c r="I700" s="14"/>
    </row>
    <row r="701" spans="1:9" x14ac:dyDescent="0.3">
      <c r="A701" s="14">
        <v>4</v>
      </c>
      <c r="B701" s="14">
        <v>118</v>
      </c>
      <c r="C701" s="14">
        <v>70</v>
      </c>
      <c r="D701" s="14">
        <v>44.5</v>
      </c>
      <c r="E701" s="14">
        <v>0.90400000000000003</v>
      </c>
      <c r="F701" s="14">
        <v>26</v>
      </c>
      <c r="G701" s="14">
        <v>0</v>
      </c>
      <c r="H701" s="14">
        <v>118</v>
      </c>
      <c r="I701" s="14"/>
    </row>
    <row r="702" spans="1:9" x14ac:dyDescent="0.3">
      <c r="A702" s="14">
        <v>2</v>
      </c>
      <c r="B702" s="14">
        <v>122</v>
      </c>
      <c r="C702" s="14">
        <v>76</v>
      </c>
      <c r="D702" s="14">
        <v>35.9</v>
      </c>
      <c r="E702" s="14">
        <v>0.48299999999999998</v>
      </c>
      <c r="F702" s="14">
        <v>26</v>
      </c>
      <c r="G702" s="14">
        <v>0</v>
      </c>
      <c r="H702" s="14">
        <v>122</v>
      </c>
      <c r="I702" s="14"/>
    </row>
    <row r="703" spans="1:9" x14ac:dyDescent="0.3">
      <c r="A703" s="14">
        <v>6</v>
      </c>
      <c r="B703" s="14">
        <v>125</v>
      </c>
      <c r="C703" s="14">
        <v>78</v>
      </c>
      <c r="D703" s="14">
        <v>27.6</v>
      </c>
      <c r="E703" s="14">
        <v>0.56499999999999995</v>
      </c>
      <c r="F703" s="14">
        <v>49</v>
      </c>
      <c r="G703" s="14">
        <v>1</v>
      </c>
      <c r="H703" s="14" t="s">
        <v>36</v>
      </c>
      <c r="I703" s="14">
        <v>125</v>
      </c>
    </row>
    <row r="704" spans="1:9" x14ac:dyDescent="0.3">
      <c r="A704" s="14">
        <v>1</v>
      </c>
      <c r="B704" s="14">
        <v>168</v>
      </c>
      <c r="C704" s="14">
        <v>88</v>
      </c>
      <c r="D704" s="14">
        <v>35</v>
      </c>
      <c r="E704" s="14">
        <v>0.90500000000000003</v>
      </c>
      <c r="F704" s="14">
        <v>52</v>
      </c>
      <c r="G704" s="14">
        <v>1</v>
      </c>
      <c r="H704" s="14" t="s">
        <v>36</v>
      </c>
      <c r="I704" s="14">
        <v>168</v>
      </c>
    </row>
    <row r="705" spans="1:9" x14ac:dyDescent="0.3">
      <c r="A705" s="14">
        <v>2</v>
      </c>
      <c r="B705" s="14">
        <v>129</v>
      </c>
      <c r="C705" s="14">
        <v>72</v>
      </c>
      <c r="D705" s="14">
        <v>38.5</v>
      </c>
      <c r="E705" s="14">
        <v>0.30399999999999999</v>
      </c>
      <c r="F705" s="14">
        <v>41</v>
      </c>
      <c r="G705" s="14">
        <v>0</v>
      </c>
      <c r="H705" s="14">
        <v>129</v>
      </c>
      <c r="I705" s="14"/>
    </row>
    <row r="706" spans="1:9" x14ac:dyDescent="0.3">
      <c r="A706" s="14">
        <v>4</v>
      </c>
      <c r="B706" s="14">
        <v>110</v>
      </c>
      <c r="C706" s="14">
        <v>76</v>
      </c>
      <c r="D706" s="14">
        <v>28.4</v>
      </c>
      <c r="E706" s="14">
        <v>0.11799999999999999</v>
      </c>
      <c r="F706" s="14">
        <v>27</v>
      </c>
      <c r="G706" s="14">
        <v>0</v>
      </c>
      <c r="H706" s="14">
        <v>110</v>
      </c>
      <c r="I706" s="14"/>
    </row>
    <row r="707" spans="1:9" x14ac:dyDescent="0.3">
      <c r="A707" s="14">
        <v>6</v>
      </c>
      <c r="B707" s="14">
        <v>80</v>
      </c>
      <c r="C707" s="14">
        <v>80</v>
      </c>
      <c r="D707" s="14">
        <v>39.799999999999997</v>
      </c>
      <c r="E707" s="14">
        <v>0.17699999999999999</v>
      </c>
      <c r="F707" s="14">
        <v>28</v>
      </c>
      <c r="G707" s="14">
        <v>0</v>
      </c>
      <c r="H707" s="14">
        <v>80</v>
      </c>
      <c r="I707" s="14"/>
    </row>
    <row r="708" spans="1:9" x14ac:dyDescent="0.3">
      <c r="A708" s="14">
        <v>10</v>
      </c>
      <c r="B708" s="14">
        <v>115</v>
      </c>
      <c r="C708" s="14">
        <v>72</v>
      </c>
      <c r="D708" s="14">
        <v>32</v>
      </c>
      <c r="E708" s="14">
        <v>0.26100000000000001</v>
      </c>
      <c r="F708" s="14">
        <v>30</v>
      </c>
      <c r="G708" s="14">
        <v>1</v>
      </c>
      <c r="H708" s="14" t="s">
        <v>36</v>
      </c>
      <c r="I708" s="14">
        <v>115</v>
      </c>
    </row>
    <row r="709" spans="1:9" x14ac:dyDescent="0.3">
      <c r="A709" s="14">
        <v>2</v>
      </c>
      <c r="B709" s="14">
        <v>127</v>
      </c>
      <c r="C709" s="14">
        <v>46</v>
      </c>
      <c r="D709" s="14">
        <v>34.4</v>
      </c>
      <c r="E709" s="14">
        <v>0.17599999999999999</v>
      </c>
      <c r="F709" s="14">
        <v>22</v>
      </c>
      <c r="G709" s="14">
        <v>0</v>
      </c>
      <c r="H709" s="14">
        <v>127</v>
      </c>
      <c r="I709" s="14"/>
    </row>
    <row r="710" spans="1:9" x14ac:dyDescent="0.3">
      <c r="A710" s="14">
        <v>9</v>
      </c>
      <c r="B710" s="14">
        <v>164</v>
      </c>
      <c r="C710" s="14">
        <v>78</v>
      </c>
      <c r="D710" s="14">
        <v>32.799999999999997</v>
      </c>
      <c r="E710" s="14">
        <v>0.14799999999999999</v>
      </c>
      <c r="F710" s="14">
        <v>45</v>
      </c>
      <c r="G710" s="14">
        <v>1</v>
      </c>
      <c r="H710" s="14" t="s">
        <v>36</v>
      </c>
      <c r="I710" s="14">
        <v>164</v>
      </c>
    </row>
    <row r="711" spans="1:9" x14ac:dyDescent="0.3">
      <c r="A711" s="14">
        <v>2</v>
      </c>
      <c r="B711" s="14">
        <v>93</v>
      </c>
      <c r="C711" s="14">
        <v>64</v>
      </c>
      <c r="D711" s="14">
        <v>38</v>
      </c>
      <c r="E711" s="14">
        <v>0.67400000000000004</v>
      </c>
      <c r="F711" s="14">
        <v>23</v>
      </c>
      <c r="G711" s="14">
        <v>1</v>
      </c>
      <c r="H711" s="14" t="s">
        <v>36</v>
      </c>
      <c r="I711" s="14">
        <v>93</v>
      </c>
    </row>
    <row r="712" spans="1:9" x14ac:dyDescent="0.3">
      <c r="A712" s="14">
        <v>3</v>
      </c>
      <c r="B712" s="14">
        <v>158</v>
      </c>
      <c r="C712" s="14">
        <v>64</v>
      </c>
      <c r="D712" s="14">
        <v>31.2</v>
      </c>
      <c r="E712" s="14">
        <v>0.29499999999999998</v>
      </c>
      <c r="F712" s="14">
        <v>24</v>
      </c>
      <c r="G712" s="14">
        <v>0</v>
      </c>
      <c r="H712" s="14">
        <v>158</v>
      </c>
      <c r="I712" s="14"/>
    </row>
    <row r="713" spans="1:9" x14ac:dyDescent="0.3">
      <c r="A713" s="14">
        <v>5</v>
      </c>
      <c r="B713" s="14">
        <v>126</v>
      </c>
      <c r="C713" s="14">
        <v>78</v>
      </c>
      <c r="D713" s="14">
        <v>29.6</v>
      </c>
      <c r="E713" s="14">
        <v>0.439</v>
      </c>
      <c r="F713" s="14">
        <v>40</v>
      </c>
      <c r="G713" s="14">
        <v>0</v>
      </c>
      <c r="H713" s="14">
        <v>126</v>
      </c>
      <c r="I713" s="14"/>
    </row>
    <row r="714" spans="1:9" x14ac:dyDescent="0.3">
      <c r="A714" s="14">
        <v>10</v>
      </c>
      <c r="B714" s="14">
        <v>129</v>
      </c>
      <c r="C714" s="14">
        <v>62</v>
      </c>
      <c r="D714" s="14">
        <v>41.2</v>
      </c>
      <c r="E714" s="14">
        <v>0.441</v>
      </c>
      <c r="F714" s="14">
        <v>38</v>
      </c>
      <c r="G714" s="14">
        <v>1</v>
      </c>
      <c r="H714" s="14" t="s">
        <v>36</v>
      </c>
      <c r="I714" s="14">
        <v>129</v>
      </c>
    </row>
    <row r="715" spans="1:9" x14ac:dyDescent="0.3">
      <c r="A715" s="14">
        <v>0</v>
      </c>
      <c r="B715" s="14">
        <v>134</v>
      </c>
      <c r="C715" s="14">
        <v>58</v>
      </c>
      <c r="D715" s="14">
        <v>26.4</v>
      </c>
      <c r="E715" s="14">
        <v>0.35199999999999998</v>
      </c>
      <c r="F715" s="14">
        <v>21</v>
      </c>
      <c r="G715" s="14">
        <v>0</v>
      </c>
      <c r="H715" s="14">
        <v>134</v>
      </c>
      <c r="I715" s="14"/>
    </row>
    <row r="716" spans="1:9" x14ac:dyDescent="0.3">
      <c r="A716" s="14">
        <v>3</v>
      </c>
      <c r="B716" s="14">
        <v>102</v>
      </c>
      <c r="C716" s="14">
        <v>74</v>
      </c>
      <c r="D716" s="14">
        <v>29.5</v>
      </c>
      <c r="E716" s="14">
        <v>0.121</v>
      </c>
      <c r="F716" s="14">
        <v>32</v>
      </c>
      <c r="G716" s="14">
        <v>0</v>
      </c>
      <c r="H716" s="14">
        <v>102</v>
      </c>
      <c r="I716" s="14"/>
    </row>
    <row r="717" spans="1:9" x14ac:dyDescent="0.3">
      <c r="A717" s="14">
        <v>7</v>
      </c>
      <c r="B717" s="14">
        <v>187</v>
      </c>
      <c r="C717" s="14">
        <v>50</v>
      </c>
      <c r="D717" s="14">
        <v>33.9</v>
      </c>
      <c r="E717" s="14">
        <v>0.82599999999999996</v>
      </c>
      <c r="F717" s="14">
        <v>34</v>
      </c>
      <c r="G717" s="14">
        <v>1</v>
      </c>
      <c r="H717" s="14" t="s">
        <v>36</v>
      </c>
      <c r="I717" s="14">
        <v>187</v>
      </c>
    </row>
    <row r="718" spans="1:9" x14ac:dyDescent="0.3">
      <c r="A718" s="14">
        <v>3</v>
      </c>
      <c r="B718" s="14">
        <v>173</v>
      </c>
      <c r="C718" s="14">
        <v>78</v>
      </c>
      <c r="D718" s="14">
        <v>33.799999999999997</v>
      </c>
      <c r="E718" s="14">
        <v>0.97</v>
      </c>
      <c r="F718" s="14">
        <v>31</v>
      </c>
      <c r="G718" s="14">
        <v>1</v>
      </c>
      <c r="H718" s="14" t="s">
        <v>36</v>
      </c>
      <c r="I718" s="14">
        <v>173</v>
      </c>
    </row>
    <row r="719" spans="1:9" x14ac:dyDescent="0.3">
      <c r="A719" s="14">
        <v>10</v>
      </c>
      <c r="B719" s="14">
        <v>94</v>
      </c>
      <c r="C719" s="14">
        <v>72</v>
      </c>
      <c r="D719" s="14">
        <v>23.1</v>
      </c>
      <c r="E719" s="14">
        <v>0.59499999999999997</v>
      </c>
      <c r="F719" s="14">
        <v>56</v>
      </c>
      <c r="G719" s="14">
        <v>0</v>
      </c>
      <c r="H719" s="14">
        <v>94</v>
      </c>
      <c r="I719" s="14"/>
    </row>
    <row r="720" spans="1:9" x14ac:dyDescent="0.3">
      <c r="A720" s="14">
        <v>1</v>
      </c>
      <c r="B720" s="14">
        <v>108</v>
      </c>
      <c r="C720" s="14">
        <v>60</v>
      </c>
      <c r="D720" s="14">
        <v>35.5</v>
      </c>
      <c r="E720" s="14">
        <v>0.41499999999999998</v>
      </c>
      <c r="F720" s="14">
        <v>24</v>
      </c>
      <c r="G720" s="14">
        <v>0</v>
      </c>
      <c r="H720" s="14">
        <v>108</v>
      </c>
      <c r="I720" s="14"/>
    </row>
    <row r="721" spans="1:9" x14ac:dyDescent="0.3">
      <c r="A721" s="14">
        <v>5</v>
      </c>
      <c r="B721" s="14">
        <v>97</v>
      </c>
      <c r="C721" s="14">
        <v>76</v>
      </c>
      <c r="D721" s="14">
        <v>35.6</v>
      </c>
      <c r="E721" s="14">
        <v>0.378</v>
      </c>
      <c r="F721" s="14">
        <v>52</v>
      </c>
      <c r="G721" s="14">
        <v>1</v>
      </c>
      <c r="H721" s="14" t="s">
        <v>36</v>
      </c>
      <c r="I721" s="14">
        <v>97</v>
      </c>
    </row>
    <row r="722" spans="1:9" x14ac:dyDescent="0.3">
      <c r="A722" s="14">
        <v>4</v>
      </c>
      <c r="B722" s="14">
        <v>83</v>
      </c>
      <c r="C722" s="14">
        <v>86</v>
      </c>
      <c r="D722" s="14">
        <v>29.3</v>
      </c>
      <c r="E722" s="14">
        <v>0.317</v>
      </c>
      <c r="F722" s="14">
        <v>34</v>
      </c>
      <c r="G722" s="14">
        <v>0</v>
      </c>
      <c r="H722" s="14">
        <v>83</v>
      </c>
      <c r="I722" s="14"/>
    </row>
    <row r="723" spans="1:9" x14ac:dyDescent="0.3">
      <c r="A723" s="14">
        <v>1</v>
      </c>
      <c r="B723" s="14">
        <v>114</v>
      </c>
      <c r="C723" s="14">
        <v>66</v>
      </c>
      <c r="D723" s="14">
        <v>38.1</v>
      </c>
      <c r="E723" s="14">
        <v>0.28899999999999998</v>
      </c>
      <c r="F723" s="14">
        <v>21</v>
      </c>
      <c r="G723" s="14">
        <v>0</v>
      </c>
      <c r="H723" s="14">
        <v>114</v>
      </c>
      <c r="I723" s="14"/>
    </row>
    <row r="724" spans="1:9" x14ac:dyDescent="0.3">
      <c r="A724" s="14">
        <v>1</v>
      </c>
      <c r="B724" s="14">
        <v>149</v>
      </c>
      <c r="C724" s="14">
        <v>68</v>
      </c>
      <c r="D724" s="14">
        <v>29.3</v>
      </c>
      <c r="E724" s="14">
        <v>0.34899999999999998</v>
      </c>
      <c r="F724" s="14">
        <v>42</v>
      </c>
      <c r="G724" s="14">
        <v>1</v>
      </c>
      <c r="H724" s="14" t="s">
        <v>36</v>
      </c>
      <c r="I724" s="14">
        <v>149</v>
      </c>
    </row>
    <row r="725" spans="1:9" x14ac:dyDescent="0.3">
      <c r="A725" s="14">
        <v>5</v>
      </c>
      <c r="B725" s="14">
        <v>117</v>
      </c>
      <c r="C725" s="14">
        <v>86</v>
      </c>
      <c r="D725" s="14">
        <v>39.1</v>
      </c>
      <c r="E725" s="14">
        <v>0.251</v>
      </c>
      <c r="F725" s="14">
        <v>42</v>
      </c>
      <c r="G725" s="14">
        <v>0</v>
      </c>
      <c r="H725" s="14">
        <v>117</v>
      </c>
      <c r="I725" s="14"/>
    </row>
    <row r="726" spans="1:9" x14ac:dyDescent="0.3">
      <c r="A726" s="14">
        <v>1</v>
      </c>
      <c r="B726" s="14">
        <v>111</v>
      </c>
      <c r="C726" s="14">
        <v>94</v>
      </c>
      <c r="D726" s="14">
        <v>32.799999999999997</v>
      </c>
      <c r="E726" s="14">
        <v>0.26500000000000001</v>
      </c>
      <c r="F726" s="14">
        <v>45</v>
      </c>
      <c r="G726" s="14">
        <v>0</v>
      </c>
      <c r="H726" s="14">
        <v>111</v>
      </c>
      <c r="I726" s="14"/>
    </row>
    <row r="727" spans="1:9" x14ac:dyDescent="0.3">
      <c r="A727" s="14">
        <v>4</v>
      </c>
      <c r="B727" s="14">
        <v>112</v>
      </c>
      <c r="C727" s="14">
        <v>78</v>
      </c>
      <c r="D727" s="14">
        <v>39.4</v>
      </c>
      <c r="E727" s="14">
        <v>0.23599999999999999</v>
      </c>
      <c r="F727" s="14">
        <v>38</v>
      </c>
      <c r="G727" s="14">
        <v>0</v>
      </c>
      <c r="H727" s="14">
        <v>112</v>
      </c>
      <c r="I727" s="14"/>
    </row>
    <row r="728" spans="1:9" x14ac:dyDescent="0.3">
      <c r="A728" s="14">
        <v>1</v>
      </c>
      <c r="B728" s="14">
        <v>116</v>
      </c>
      <c r="C728" s="14">
        <v>78</v>
      </c>
      <c r="D728" s="14">
        <v>36.1</v>
      </c>
      <c r="E728" s="14">
        <v>0.496</v>
      </c>
      <c r="F728" s="14">
        <v>25</v>
      </c>
      <c r="G728" s="14">
        <v>0</v>
      </c>
      <c r="H728" s="14">
        <v>116</v>
      </c>
      <c r="I728" s="14"/>
    </row>
    <row r="729" spans="1:9" x14ac:dyDescent="0.3">
      <c r="A729" s="14">
        <v>0</v>
      </c>
      <c r="B729" s="14">
        <v>141</v>
      </c>
      <c r="C729" s="14">
        <v>84</v>
      </c>
      <c r="D729" s="14">
        <v>32.4</v>
      </c>
      <c r="E729" s="14">
        <v>0.433</v>
      </c>
      <c r="F729" s="14">
        <v>22</v>
      </c>
      <c r="G729" s="14">
        <v>0</v>
      </c>
      <c r="H729" s="14">
        <v>141</v>
      </c>
      <c r="I729" s="14"/>
    </row>
    <row r="730" spans="1:9" x14ac:dyDescent="0.3">
      <c r="A730" s="14">
        <v>2</v>
      </c>
      <c r="B730" s="14">
        <v>175</v>
      </c>
      <c r="C730" s="14">
        <v>88</v>
      </c>
      <c r="D730" s="14">
        <v>22.9</v>
      </c>
      <c r="E730" s="14">
        <v>0.32600000000000001</v>
      </c>
      <c r="F730" s="14">
        <v>22</v>
      </c>
      <c r="G730" s="14">
        <v>0</v>
      </c>
      <c r="H730" s="14">
        <v>175</v>
      </c>
      <c r="I730" s="14"/>
    </row>
    <row r="731" spans="1:9" x14ac:dyDescent="0.3">
      <c r="A731" s="14">
        <v>2</v>
      </c>
      <c r="B731" s="14">
        <v>92</v>
      </c>
      <c r="C731" s="14">
        <v>52</v>
      </c>
      <c r="D731" s="14">
        <v>30.1</v>
      </c>
      <c r="E731" s="14">
        <v>0.14099999999999999</v>
      </c>
      <c r="F731" s="14">
        <v>22</v>
      </c>
      <c r="G731" s="14">
        <v>0</v>
      </c>
      <c r="H731" s="14">
        <v>92</v>
      </c>
      <c r="I731" s="14"/>
    </row>
    <row r="732" spans="1:9" x14ac:dyDescent="0.3">
      <c r="A732" s="14">
        <v>3</v>
      </c>
      <c r="B732" s="14">
        <v>130</v>
      </c>
      <c r="C732" s="14">
        <v>78</v>
      </c>
      <c r="D732" s="14">
        <v>28.4</v>
      </c>
      <c r="E732" s="14">
        <v>0.32300000000000001</v>
      </c>
      <c r="F732" s="14">
        <v>34</v>
      </c>
      <c r="G732" s="14">
        <v>1</v>
      </c>
      <c r="H732" s="14" t="s">
        <v>36</v>
      </c>
      <c r="I732" s="14">
        <v>130</v>
      </c>
    </row>
    <row r="733" spans="1:9" x14ac:dyDescent="0.3">
      <c r="A733" s="14">
        <v>8</v>
      </c>
      <c r="B733" s="14">
        <v>120</v>
      </c>
      <c r="C733" s="14">
        <v>86</v>
      </c>
      <c r="D733" s="14">
        <v>28.4</v>
      </c>
      <c r="E733" s="14">
        <v>0.25900000000000001</v>
      </c>
      <c r="F733" s="14">
        <v>22</v>
      </c>
      <c r="G733" s="14">
        <v>1</v>
      </c>
      <c r="H733" s="14" t="s">
        <v>36</v>
      </c>
      <c r="I733" s="14">
        <v>120</v>
      </c>
    </row>
    <row r="734" spans="1:9" x14ac:dyDescent="0.3">
      <c r="A734" s="14">
        <v>2</v>
      </c>
      <c r="B734" s="14">
        <v>174</v>
      </c>
      <c r="C734" s="14">
        <v>88</v>
      </c>
      <c r="D734" s="14">
        <v>44.5</v>
      </c>
      <c r="E734" s="14">
        <v>0.64600000000000002</v>
      </c>
      <c r="F734" s="14">
        <v>24</v>
      </c>
      <c r="G734" s="14">
        <v>1</v>
      </c>
      <c r="H734" s="14" t="s">
        <v>36</v>
      </c>
      <c r="I734" s="14">
        <v>174</v>
      </c>
    </row>
    <row r="735" spans="1:9" x14ac:dyDescent="0.3">
      <c r="A735" s="14">
        <v>2</v>
      </c>
      <c r="B735" s="14">
        <v>106</v>
      </c>
      <c r="C735" s="14">
        <v>56</v>
      </c>
      <c r="D735" s="14">
        <v>29</v>
      </c>
      <c r="E735" s="14">
        <v>0.42599999999999999</v>
      </c>
      <c r="F735" s="14">
        <v>22</v>
      </c>
      <c r="G735" s="14">
        <v>0</v>
      </c>
      <c r="H735" s="14">
        <v>106</v>
      </c>
      <c r="I735" s="14"/>
    </row>
    <row r="736" spans="1:9" x14ac:dyDescent="0.3">
      <c r="A736" s="14">
        <v>2</v>
      </c>
      <c r="B736" s="14">
        <v>105</v>
      </c>
      <c r="C736" s="14">
        <v>75</v>
      </c>
      <c r="D736" s="14">
        <v>23.3</v>
      </c>
      <c r="E736" s="14">
        <v>0.56000000000000005</v>
      </c>
      <c r="F736" s="14">
        <v>53</v>
      </c>
      <c r="G736" s="14">
        <v>0</v>
      </c>
      <c r="H736" s="14">
        <v>105</v>
      </c>
      <c r="I736" s="14"/>
    </row>
    <row r="737" spans="1:9" x14ac:dyDescent="0.3">
      <c r="A737" s="14">
        <v>4</v>
      </c>
      <c r="B737" s="14">
        <v>95</v>
      </c>
      <c r="C737" s="14">
        <v>60</v>
      </c>
      <c r="D737" s="14">
        <v>35.4</v>
      </c>
      <c r="E737" s="14">
        <v>0.28399999999999997</v>
      </c>
      <c r="F737" s="14">
        <v>28</v>
      </c>
      <c r="G737" s="14">
        <v>0</v>
      </c>
      <c r="H737" s="14">
        <v>95</v>
      </c>
      <c r="I737" s="14"/>
    </row>
    <row r="738" spans="1:9" x14ac:dyDescent="0.3">
      <c r="A738" s="14">
        <v>0</v>
      </c>
      <c r="B738" s="14">
        <v>126</v>
      </c>
      <c r="C738" s="14">
        <v>86</v>
      </c>
      <c r="D738" s="14">
        <v>27.4</v>
      </c>
      <c r="E738" s="14">
        <v>0.51500000000000001</v>
      </c>
      <c r="F738" s="14">
        <v>21</v>
      </c>
      <c r="G738" s="14">
        <v>0</v>
      </c>
      <c r="H738" s="14">
        <v>126</v>
      </c>
      <c r="I738" s="14"/>
    </row>
    <row r="739" spans="1:9" x14ac:dyDescent="0.3">
      <c r="A739" s="14">
        <v>8</v>
      </c>
      <c r="B739" s="14">
        <v>65</v>
      </c>
      <c r="C739" s="14">
        <v>72</v>
      </c>
      <c r="D739" s="14">
        <v>32</v>
      </c>
      <c r="E739" s="14">
        <v>0.6</v>
      </c>
      <c r="F739" s="14">
        <v>42</v>
      </c>
      <c r="G739" s="14">
        <v>0</v>
      </c>
      <c r="H739" s="14">
        <v>65</v>
      </c>
      <c r="I739" s="14"/>
    </row>
    <row r="740" spans="1:9" x14ac:dyDescent="0.3">
      <c r="A740" s="14">
        <v>2</v>
      </c>
      <c r="B740" s="14">
        <v>99</v>
      </c>
      <c r="C740" s="14">
        <v>60</v>
      </c>
      <c r="D740" s="14">
        <v>36.6</v>
      </c>
      <c r="E740" s="14">
        <v>0.45300000000000001</v>
      </c>
      <c r="F740" s="14">
        <v>21</v>
      </c>
      <c r="G740" s="14">
        <v>0</v>
      </c>
      <c r="H740" s="14">
        <v>99</v>
      </c>
      <c r="I740" s="14"/>
    </row>
    <row r="741" spans="1:9" x14ac:dyDescent="0.3">
      <c r="A741" s="14">
        <v>1</v>
      </c>
      <c r="B741" s="14">
        <v>102</v>
      </c>
      <c r="C741" s="14">
        <v>74</v>
      </c>
      <c r="D741" s="14">
        <v>39.5</v>
      </c>
      <c r="E741" s="14">
        <v>0.29299999999999998</v>
      </c>
      <c r="F741" s="14">
        <v>42</v>
      </c>
      <c r="G741" s="14">
        <v>1</v>
      </c>
      <c r="H741" s="14" t="s">
        <v>36</v>
      </c>
      <c r="I741" s="14">
        <v>102</v>
      </c>
    </row>
    <row r="742" spans="1:9" x14ac:dyDescent="0.3">
      <c r="A742" s="14">
        <v>11</v>
      </c>
      <c r="B742" s="14">
        <v>120</v>
      </c>
      <c r="C742" s="14">
        <v>80</v>
      </c>
      <c r="D742" s="14">
        <v>42.3</v>
      </c>
      <c r="E742" s="14">
        <v>0.78500000000000003</v>
      </c>
      <c r="F742" s="14">
        <v>48</v>
      </c>
      <c r="G742" s="14">
        <v>1</v>
      </c>
      <c r="H742" s="14" t="s">
        <v>36</v>
      </c>
      <c r="I742" s="14">
        <v>120</v>
      </c>
    </row>
    <row r="743" spans="1:9" x14ac:dyDescent="0.3">
      <c r="A743" s="14">
        <v>3</v>
      </c>
      <c r="B743" s="14">
        <v>102</v>
      </c>
      <c r="C743" s="14">
        <v>44</v>
      </c>
      <c r="D743" s="14">
        <v>30.8</v>
      </c>
      <c r="E743" s="14">
        <v>0.4</v>
      </c>
      <c r="F743" s="14">
        <v>26</v>
      </c>
      <c r="G743" s="14">
        <v>0</v>
      </c>
      <c r="H743" s="14">
        <v>102</v>
      </c>
      <c r="I743" s="14"/>
    </row>
    <row r="744" spans="1:9" x14ac:dyDescent="0.3">
      <c r="A744" s="14">
        <v>1</v>
      </c>
      <c r="B744" s="14">
        <v>109</v>
      </c>
      <c r="C744" s="14">
        <v>58</v>
      </c>
      <c r="D744" s="14">
        <v>28.5</v>
      </c>
      <c r="E744" s="14">
        <v>0.219</v>
      </c>
      <c r="F744" s="14">
        <v>22</v>
      </c>
      <c r="G744" s="14">
        <v>0</v>
      </c>
      <c r="H744" s="14">
        <v>109</v>
      </c>
      <c r="I744" s="14"/>
    </row>
    <row r="745" spans="1:9" x14ac:dyDescent="0.3">
      <c r="A745" s="14">
        <v>9</v>
      </c>
      <c r="B745" s="14">
        <v>140</v>
      </c>
      <c r="C745" s="14">
        <v>94</v>
      </c>
      <c r="D745" s="14">
        <v>32.700000000000003</v>
      </c>
      <c r="E745" s="14">
        <v>0.73399999999999999</v>
      </c>
      <c r="F745" s="14">
        <v>45</v>
      </c>
      <c r="G745" s="14">
        <v>1</v>
      </c>
      <c r="H745" s="14" t="s">
        <v>36</v>
      </c>
      <c r="I745" s="14">
        <v>140</v>
      </c>
    </row>
    <row r="746" spans="1:9" x14ac:dyDescent="0.3">
      <c r="A746" s="14">
        <v>13</v>
      </c>
      <c r="B746" s="14">
        <v>153</v>
      </c>
      <c r="C746" s="14">
        <v>88</v>
      </c>
      <c r="D746" s="14">
        <v>40.6</v>
      </c>
      <c r="E746" s="14">
        <v>1.1739999999999999</v>
      </c>
      <c r="F746" s="14">
        <v>39</v>
      </c>
      <c r="G746" s="14">
        <v>0</v>
      </c>
      <c r="H746" s="14">
        <v>153</v>
      </c>
      <c r="I746" s="14"/>
    </row>
    <row r="747" spans="1:9" x14ac:dyDescent="0.3">
      <c r="A747" s="14">
        <v>12</v>
      </c>
      <c r="B747" s="14">
        <v>100</v>
      </c>
      <c r="C747" s="14">
        <v>84</v>
      </c>
      <c r="D747" s="14">
        <v>30</v>
      </c>
      <c r="E747" s="14">
        <v>0.48799999999999999</v>
      </c>
      <c r="F747" s="14">
        <v>46</v>
      </c>
      <c r="G747" s="14">
        <v>0</v>
      </c>
      <c r="H747" s="14">
        <v>100</v>
      </c>
      <c r="I747" s="14"/>
    </row>
    <row r="748" spans="1:9" x14ac:dyDescent="0.3">
      <c r="A748" s="14">
        <v>1</v>
      </c>
      <c r="B748" s="14">
        <v>147</v>
      </c>
      <c r="C748" s="14">
        <v>94</v>
      </c>
      <c r="D748" s="14">
        <v>49.3</v>
      </c>
      <c r="E748" s="14">
        <v>0.35799999999999998</v>
      </c>
      <c r="F748" s="14">
        <v>27</v>
      </c>
      <c r="G748" s="14">
        <v>1</v>
      </c>
      <c r="H748" s="14" t="s">
        <v>36</v>
      </c>
      <c r="I748" s="14">
        <v>147</v>
      </c>
    </row>
    <row r="749" spans="1:9" x14ac:dyDescent="0.3">
      <c r="A749" s="14">
        <v>1</v>
      </c>
      <c r="B749" s="14">
        <v>81</v>
      </c>
      <c r="C749" s="14">
        <v>74</v>
      </c>
      <c r="D749" s="14">
        <v>46.3</v>
      </c>
      <c r="E749" s="14">
        <v>1.0960000000000001</v>
      </c>
      <c r="F749" s="14">
        <v>32</v>
      </c>
      <c r="G749" s="14">
        <v>0</v>
      </c>
      <c r="H749" s="14">
        <v>81</v>
      </c>
      <c r="I749" s="14"/>
    </row>
    <row r="750" spans="1:9" x14ac:dyDescent="0.3">
      <c r="A750" s="14">
        <v>3</v>
      </c>
      <c r="B750" s="14">
        <v>187</v>
      </c>
      <c r="C750" s="14">
        <v>70</v>
      </c>
      <c r="D750" s="14">
        <v>36.4</v>
      </c>
      <c r="E750" s="14">
        <v>0.40799999999999997</v>
      </c>
      <c r="F750" s="14">
        <v>36</v>
      </c>
      <c r="G750" s="14">
        <v>1</v>
      </c>
      <c r="H750" s="14" t="s">
        <v>36</v>
      </c>
      <c r="I750" s="14">
        <v>187</v>
      </c>
    </row>
    <row r="751" spans="1:9" x14ac:dyDescent="0.3">
      <c r="A751" s="14">
        <v>6</v>
      </c>
      <c r="B751" s="14">
        <v>162</v>
      </c>
      <c r="C751" s="14">
        <v>62</v>
      </c>
      <c r="D751" s="14">
        <v>24.3</v>
      </c>
      <c r="E751" s="14">
        <v>0.17799999999999999</v>
      </c>
      <c r="F751" s="14">
        <v>50</v>
      </c>
      <c r="G751" s="14">
        <v>1</v>
      </c>
      <c r="H751" s="14" t="s">
        <v>36</v>
      </c>
      <c r="I751" s="14">
        <v>162</v>
      </c>
    </row>
    <row r="752" spans="1:9" x14ac:dyDescent="0.3">
      <c r="A752" s="14">
        <v>4</v>
      </c>
      <c r="B752" s="14">
        <v>136</v>
      </c>
      <c r="C752" s="14">
        <v>70</v>
      </c>
      <c r="D752" s="14">
        <v>31.2</v>
      </c>
      <c r="E752" s="14">
        <v>1.1819999999999999</v>
      </c>
      <c r="F752" s="14">
        <v>22</v>
      </c>
      <c r="G752" s="14">
        <v>1</v>
      </c>
      <c r="H752" s="14" t="s">
        <v>36</v>
      </c>
      <c r="I752" s="14">
        <v>136</v>
      </c>
    </row>
    <row r="753" spans="1:9" x14ac:dyDescent="0.3">
      <c r="A753" s="14">
        <v>1</v>
      </c>
      <c r="B753" s="14">
        <v>121</v>
      </c>
      <c r="C753" s="14">
        <v>78</v>
      </c>
      <c r="D753" s="14">
        <v>39</v>
      </c>
      <c r="E753" s="14">
        <v>0.26100000000000001</v>
      </c>
      <c r="F753" s="14">
        <v>28</v>
      </c>
      <c r="G753" s="14">
        <v>0</v>
      </c>
      <c r="H753" s="14">
        <v>121</v>
      </c>
      <c r="I753" s="14"/>
    </row>
    <row r="754" spans="1:9" x14ac:dyDescent="0.3">
      <c r="A754" s="14">
        <v>3</v>
      </c>
      <c r="B754" s="14">
        <v>108</v>
      </c>
      <c r="C754" s="14">
        <v>62</v>
      </c>
      <c r="D754" s="14">
        <v>26</v>
      </c>
      <c r="E754" s="14">
        <v>0.223</v>
      </c>
      <c r="F754" s="14">
        <v>25</v>
      </c>
      <c r="G754" s="14">
        <v>0</v>
      </c>
      <c r="H754" s="14">
        <v>108</v>
      </c>
      <c r="I754" s="14"/>
    </row>
    <row r="755" spans="1:9" x14ac:dyDescent="0.3">
      <c r="A755" s="14">
        <v>0</v>
      </c>
      <c r="B755" s="14">
        <v>181</v>
      </c>
      <c r="C755" s="14">
        <v>88</v>
      </c>
      <c r="D755" s="14">
        <v>43.3</v>
      </c>
      <c r="E755" s="14">
        <v>0.222</v>
      </c>
      <c r="F755" s="14">
        <v>26</v>
      </c>
      <c r="G755" s="14">
        <v>1</v>
      </c>
      <c r="H755" s="14" t="s">
        <v>36</v>
      </c>
      <c r="I755" s="14">
        <v>181</v>
      </c>
    </row>
    <row r="756" spans="1:9" x14ac:dyDescent="0.3">
      <c r="A756" s="14">
        <v>8</v>
      </c>
      <c r="B756" s="14">
        <v>154</v>
      </c>
      <c r="C756" s="14">
        <v>78</v>
      </c>
      <c r="D756" s="14">
        <v>32.4</v>
      </c>
      <c r="E756" s="14">
        <v>0.443</v>
      </c>
      <c r="F756" s="14">
        <v>45</v>
      </c>
      <c r="G756" s="14">
        <v>1</v>
      </c>
      <c r="H756" s="14" t="s">
        <v>36</v>
      </c>
      <c r="I756" s="14">
        <v>154</v>
      </c>
    </row>
    <row r="757" spans="1:9" x14ac:dyDescent="0.3">
      <c r="A757" s="14">
        <v>1</v>
      </c>
      <c r="B757" s="14">
        <v>128</v>
      </c>
      <c r="C757" s="14">
        <v>88</v>
      </c>
      <c r="D757" s="14">
        <v>36.5</v>
      </c>
      <c r="E757" s="14">
        <v>1.0569999999999999</v>
      </c>
      <c r="F757" s="14">
        <v>37</v>
      </c>
      <c r="G757" s="14">
        <v>1</v>
      </c>
      <c r="H757" s="14" t="s">
        <v>36</v>
      </c>
      <c r="I757" s="14">
        <v>128</v>
      </c>
    </row>
    <row r="758" spans="1:9" x14ac:dyDescent="0.3">
      <c r="A758" s="14">
        <v>7</v>
      </c>
      <c r="B758" s="14">
        <v>137</v>
      </c>
      <c r="C758" s="14">
        <v>90</v>
      </c>
      <c r="D758" s="14">
        <v>32</v>
      </c>
      <c r="E758" s="14">
        <v>0.39100000000000001</v>
      </c>
      <c r="F758" s="14">
        <v>39</v>
      </c>
      <c r="G758" s="14">
        <v>0</v>
      </c>
      <c r="H758" s="14">
        <v>137</v>
      </c>
      <c r="I758" s="14"/>
    </row>
    <row r="759" spans="1:9" x14ac:dyDescent="0.3">
      <c r="A759" s="14">
        <v>0</v>
      </c>
      <c r="B759" s="14">
        <v>123</v>
      </c>
      <c r="C759" s="14">
        <v>72</v>
      </c>
      <c r="D759" s="14">
        <v>36.299999999999997</v>
      </c>
      <c r="E759" s="14">
        <v>0.25800000000000001</v>
      </c>
      <c r="F759" s="14">
        <v>52</v>
      </c>
      <c r="G759" s="14">
        <v>1</v>
      </c>
      <c r="H759" s="14" t="s">
        <v>36</v>
      </c>
      <c r="I759" s="14">
        <v>123</v>
      </c>
    </row>
    <row r="760" spans="1:9" x14ac:dyDescent="0.3">
      <c r="A760" s="14">
        <v>1</v>
      </c>
      <c r="B760" s="14">
        <v>106</v>
      </c>
      <c r="C760" s="14">
        <v>76</v>
      </c>
      <c r="D760" s="14">
        <v>37.5</v>
      </c>
      <c r="E760" s="14">
        <v>0.19700000000000001</v>
      </c>
      <c r="F760" s="14">
        <v>26</v>
      </c>
      <c r="G760" s="14">
        <v>0</v>
      </c>
      <c r="H760" s="14">
        <v>106</v>
      </c>
      <c r="I760" s="14"/>
    </row>
    <row r="761" spans="1:9" x14ac:dyDescent="0.3">
      <c r="A761" s="14">
        <v>6</v>
      </c>
      <c r="B761" s="14">
        <v>190</v>
      </c>
      <c r="C761" s="14">
        <v>92</v>
      </c>
      <c r="D761" s="14">
        <v>35.5</v>
      </c>
      <c r="E761" s="14">
        <v>0.27800000000000002</v>
      </c>
      <c r="F761" s="14">
        <v>66</v>
      </c>
      <c r="G761" s="14">
        <v>1</v>
      </c>
      <c r="H761" s="14" t="s">
        <v>36</v>
      </c>
      <c r="I761" s="14">
        <v>190</v>
      </c>
    </row>
    <row r="762" spans="1:9" x14ac:dyDescent="0.3">
      <c r="A762" s="14">
        <v>2</v>
      </c>
      <c r="B762" s="14">
        <v>88</v>
      </c>
      <c r="C762" s="14">
        <v>58</v>
      </c>
      <c r="D762" s="14">
        <v>28.4</v>
      </c>
      <c r="E762" s="14">
        <v>0.76600000000000001</v>
      </c>
      <c r="F762" s="14">
        <v>22</v>
      </c>
      <c r="G762" s="14">
        <v>0</v>
      </c>
      <c r="H762" s="14">
        <v>88</v>
      </c>
      <c r="I762" s="14"/>
    </row>
    <row r="763" spans="1:9" x14ac:dyDescent="0.3">
      <c r="A763" s="14">
        <v>9</v>
      </c>
      <c r="B763" s="14">
        <v>170</v>
      </c>
      <c r="C763" s="14">
        <v>74</v>
      </c>
      <c r="D763" s="14">
        <v>44</v>
      </c>
      <c r="E763" s="14">
        <v>0.40300000000000002</v>
      </c>
      <c r="F763" s="14">
        <v>43</v>
      </c>
      <c r="G763" s="14">
        <v>1</v>
      </c>
      <c r="H763" s="14" t="s">
        <v>36</v>
      </c>
      <c r="I763" s="14">
        <v>170</v>
      </c>
    </row>
    <row r="764" spans="1:9" x14ac:dyDescent="0.3">
      <c r="A764" s="14">
        <v>9</v>
      </c>
      <c r="B764" s="14">
        <v>89</v>
      </c>
      <c r="C764" s="14">
        <v>62</v>
      </c>
      <c r="D764" s="14">
        <v>22.5</v>
      </c>
      <c r="E764" s="14">
        <v>0.14199999999999999</v>
      </c>
      <c r="F764" s="14">
        <v>33</v>
      </c>
      <c r="G764" s="14">
        <v>0</v>
      </c>
      <c r="H764" s="14">
        <v>89</v>
      </c>
      <c r="I764" s="14"/>
    </row>
    <row r="765" spans="1:9" x14ac:dyDescent="0.3">
      <c r="A765" s="14">
        <v>10</v>
      </c>
      <c r="B765" s="14">
        <v>101</v>
      </c>
      <c r="C765" s="14">
        <v>76</v>
      </c>
      <c r="D765" s="14">
        <v>32.9</v>
      </c>
      <c r="E765" s="14">
        <v>0.17100000000000001</v>
      </c>
      <c r="F765" s="14">
        <v>63</v>
      </c>
      <c r="G765" s="14">
        <v>0</v>
      </c>
      <c r="H765" s="14">
        <v>101</v>
      </c>
      <c r="I765" s="14"/>
    </row>
    <row r="766" spans="1:9" x14ac:dyDescent="0.3">
      <c r="A766" s="14">
        <v>2</v>
      </c>
      <c r="B766" s="14">
        <v>122</v>
      </c>
      <c r="C766" s="14">
        <v>70</v>
      </c>
      <c r="D766" s="14">
        <v>36.799999999999997</v>
      </c>
      <c r="E766" s="14">
        <v>0.34</v>
      </c>
      <c r="F766" s="14">
        <v>27</v>
      </c>
      <c r="G766" s="14">
        <v>0</v>
      </c>
      <c r="H766" s="14">
        <v>122</v>
      </c>
      <c r="I766" s="14"/>
    </row>
    <row r="767" spans="1:9" x14ac:dyDescent="0.3">
      <c r="A767" s="14">
        <v>5</v>
      </c>
      <c r="B767" s="14">
        <v>121</v>
      </c>
      <c r="C767" s="14">
        <v>72</v>
      </c>
      <c r="D767" s="14">
        <v>26.2</v>
      </c>
      <c r="E767" s="14">
        <v>0.245</v>
      </c>
      <c r="F767" s="14">
        <v>30</v>
      </c>
      <c r="G767" s="14">
        <v>0</v>
      </c>
      <c r="H767" s="14">
        <v>121</v>
      </c>
      <c r="I767" s="14"/>
    </row>
    <row r="768" spans="1:9" x14ac:dyDescent="0.3">
      <c r="A768" s="14">
        <v>1</v>
      </c>
      <c r="B768" s="14">
        <v>126</v>
      </c>
      <c r="C768" s="14">
        <v>60</v>
      </c>
      <c r="D768" s="14">
        <v>30.1</v>
      </c>
      <c r="E768" s="14">
        <v>0.34899999999999998</v>
      </c>
      <c r="F768" s="14">
        <v>47</v>
      </c>
      <c r="G768" s="14">
        <v>1</v>
      </c>
      <c r="H768" s="14" t="s">
        <v>36</v>
      </c>
      <c r="I768" s="14">
        <v>126</v>
      </c>
    </row>
    <row r="769" spans="1:9" x14ac:dyDescent="0.3">
      <c r="A769" s="14">
        <v>1</v>
      </c>
      <c r="B769" s="14">
        <v>93</v>
      </c>
      <c r="C769" s="14">
        <v>70</v>
      </c>
      <c r="D769" s="14">
        <v>30.4</v>
      </c>
      <c r="E769" s="14">
        <v>0.315</v>
      </c>
      <c r="F769" s="14">
        <v>23</v>
      </c>
      <c r="G769" s="14">
        <v>0</v>
      </c>
      <c r="H769" s="14">
        <v>93</v>
      </c>
      <c r="I769" s="14"/>
    </row>
  </sheetData>
  <pageMargins left="0.7" right="0.7" top="0.75" bottom="0.75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E4D234-F738-436E-BB8D-C4D3C27ECDC2}">
  <dimension ref="C4:G21"/>
  <sheetViews>
    <sheetView topLeftCell="B4" workbookViewId="0">
      <selection activeCell="C9" sqref="C9:D20"/>
    </sheetView>
  </sheetViews>
  <sheetFormatPr defaultRowHeight="14.4" x14ac:dyDescent="0.3"/>
  <cols>
    <col min="3" max="3" width="49.44140625" bestFit="1" customWidth="1"/>
    <col min="4" max="4" width="12" bestFit="1" customWidth="1"/>
    <col min="6" max="6" width="18.109375" customWidth="1"/>
  </cols>
  <sheetData>
    <row r="4" spans="3:7" x14ac:dyDescent="0.3">
      <c r="C4" s="11" t="s">
        <v>37</v>
      </c>
      <c r="D4" s="12" cm="1">
        <f t="array" ref="D4">_xlfn.T.TEST(IF('CLEAN DATA '!$G$2:$G$769=0,'CLEAN DATA '!$B$2:$B$769),IF('CLEAN DATA '!$G$2:$G$769=1,'CLEAN DATA '!$B$2:$B$769),2,3)</f>
        <v>3.5421485614430519E-41</v>
      </c>
    </row>
    <row r="7" spans="3:7" ht="25.8" x14ac:dyDescent="0.5">
      <c r="C7" s="13" t="s">
        <v>38</v>
      </c>
    </row>
    <row r="9" spans="3:7" s="12" customFormat="1" x14ac:dyDescent="0.3">
      <c r="C9" s="14" t="s">
        <v>39</v>
      </c>
      <c r="D9" s="14" t="s">
        <v>40</v>
      </c>
      <c r="E9" s="14"/>
      <c r="F9" s="14" t="s">
        <v>44</v>
      </c>
      <c r="G9" s="14"/>
    </row>
    <row r="10" spans="3:7" x14ac:dyDescent="0.3">
      <c r="C10" s="15" t="s">
        <v>9</v>
      </c>
      <c r="D10" s="15">
        <f>CORREL('CLEAN DATA '!B:B,'CLEAN DATA '!G:G)</f>
        <v>0.49278240391502864</v>
      </c>
      <c r="E10" s="15"/>
      <c r="F10" s="15" t="s">
        <v>45</v>
      </c>
      <c r="G10" s="2"/>
    </row>
    <row r="11" spans="3:7" x14ac:dyDescent="0.3">
      <c r="C11" s="15"/>
      <c r="D11" s="15"/>
      <c r="E11" s="15"/>
      <c r="F11" s="15"/>
      <c r="G11" s="2"/>
    </row>
    <row r="12" spans="3:7" x14ac:dyDescent="0.3">
      <c r="C12" s="15" t="s">
        <v>10</v>
      </c>
      <c r="D12" s="15">
        <f>CORREL('CLEAN DATA '!C:C,'CLEAN DATA '!G:G)</f>
        <v>0.16572291308057716</v>
      </c>
      <c r="E12" s="15"/>
      <c r="F12" s="15" t="s">
        <v>46</v>
      </c>
      <c r="G12" s="2"/>
    </row>
    <row r="13" spans="3:7" x14ac:dyDescent="0.3">
      <c r="C13" s="15"/>
      <c r="D13" s="15"/>
      <c r="E13" s="15"/>
      <c r="F13" s="15"/>
      <c r="G13" s="2"/>
    </row>
    <row r="14" spans="3:7" x14ac:dyDescent="0.3">
      <c r="C14" s="15" t="s">
        <v>11</v>
      </c>
      <c r="D14" s="15">
        <f>CORREL('CLEAN DATA '!D:D,'CLEAN DATA '!G:G)</f>
        <v>0.3122490266732727</v>
      </c>
      <c r="E14" s="15"/>
      <c r="F14" s="15" t="s">
        <v>47</v>
      </c>
      <c r="G14" s="2"/>
    </row>
    <row r="15" spans="3:7" x14ac:dyDescent="0.3">
      <c r="C15" s="15"/>
      <c r="D15" s="15"/>
      <c r="E15" s="15"/>
      <c r="F15" s="15"/>
      <c r="G15" s="2"/>
    </row>
    <row r="16" spans="3:7" x14ac:dyDescent="0.3">
      <c r="C16" s="15" t="s">
        <v>41</v>
      </c>
      <c r="D16" s="15">
        <f>CORREL('CLEAN DATA '!F:F,'CLEAN DATA '!G:G)</f>
        <v>0.23835598302719743</v>
      </c>
      <c r="E16" s="15"/>
      <c r="F16" s="15" t="s">
        <v>47</v>
      </c>
      <c r="G16" s="2"/>
    </row>
    <row r="17" spans="3:7" x14ac:dyDescent="0.3">
      <c r="C17" s="15"/>
      <c r="D17" s="15"/>
      <c r="E17" s="15"/>
      <c r="F17" s="15"/>
      <c r="G17" s="2"/>
    </row>
    <row r="18" spans="3:7" x14ac:dyDescent="0.3">
      <c r="C18" s="15" t="s">
        <v>42</v>
      </c>
      <c r="D18" s="15">
        <f>CORREL('CLEAN DATA '!A:A,'CLEAN DATA '!G:G)</f>
        <v>0.2218981530339883</v>
      </c>
      <c r="E18" s="15"/>
      <c r="F18" s="15" t="s">
        <v>48</v>
      </c>
      <c r="G18" s="2"/>
    </row>
    <row r="19" spans="3:7" x14ac:dyDescent="0.3">
      <c r="C19" s="15"/>
      <c r="D19" s="15"/>
      <c r="E19" s="15"/>
      <c r="F19" s="15"/>
      <c r="G19" s="2"/>
    </row>
    <row r="20" spans="3:7" x14ac:dyDescent="0.3">
      <c r="C20" s="15" t="s">
        <v>43</v>
      </c>
      <c r="D20" s="15">
        <f>CORREL('CLEAN DATA '!E:E,'CLEAN DATA '!G:G)</f>
        <v>0.17384406565296084</v>
      </c>
      <c r="E20" s="15"/>
      <c r="F20" s="15" t="s">
        <v>49</v>
      </c>
      <c r="G20" s="2"/>
    </row>
    <row r="21" spans="3:7" x14ac:dyDescent="0.3">
      <c r="C21" s="2"/>
      <c r="D21" s="2"/>
      <c r="E21" s="2"/>
      <c r="F21" s="2"/>
      <c r="G21" s="2"/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C2:F31"/>
  <sheetViews>
    <sheetView topLeftCell="B1" zoomScale="96" zoomScaleNormal="70" workbookViewId="0">
      <selection activeCell="O23" sqref="O23"/>
    </sheetView>
  </sheetViews>
  <sheetFormatPr defaultColWidth="8.6640625" defaultRowHeight="14.4" x14ac:dyDescent="0.3"/>
  <cols>
    <col min="1" max="1" width="8.88671875" customWidth="1"/>
    <col min="2" max="2" width="18.44140625" customWidth="1"/>
    <col min="3" max="3" width="23.44140625" customWidth="1"/>
    <col min="4" max="4" width="24.109375" customWidth="1"/>
    <col min="6" max="6" width="21.6640625" customWidth="1"/>
  </cols>
  <sheetData>
    <row r="2" spans="3:6" s="3" customFormat="1" x14ac:dyDescent="0.3">
      <c r="D2" s="3" t="s">
        <v>12</v>
      </c>
      <c r="F2" s="3" t="s">
        <v>13</v>
      </c>
    </row>
    <row r="3" spans="3:6" x14ac:dyDescent="0.3">
      <c r="C3" s="4"/>
      <c r="D3" s="1"/>
      <c r="E3" s="1"/>
      <c r="F3" s="1"/>
    </row>
    <row r="4" spans="3:6" x14ac:dyDescent="0.3">
      <c r="C4" s="5" t="s">
        <v>14</v>
      </c>
      <c r="D4" s="1">
        <f>AVERAGEIF('CLEAN DATA '!$G:$G,0,'CLEAN DATA '!B:B)</f>
        <v>110.682</v>
      </c>
      <c r="E4" s="1"/>
      <c r="F4" s="1">
        <f>AVERAGEIF('CLEAN DATA '!$G:$G,1,'CLEAN DATA '!B:B)</f>
        <v>142.13059701492537</v>
      </c>
    </row>
    <row r="5" spans="3:6" x14ac:dyDescent="0.3">
      <c r="C5" s="4"/>
      <c r="D5" s="1"/>
      <c r="E5" s="1"/>
      <c r="F5" s="1"/>
    </row>
    <row r="6" spans="3:6" x14ac:dyDescent="0.3">
      <c r="C6" s="5" t="s">
        <v>15</v>
      </c>
      <c r="D6" s="1">
        <f>AVERAGEIF('CLEAN DATA '!G:G,0,'CLEAN DATA '!C:C)</f>
        <v>70.92</v>
      </c>
      <c r="E6" s="1"/>
      <c r="F6" s="1">
        <f>AVERAGEIF('CLEAN DATA '!$G:$G,1,'CLEAN DATA '!C:C)</f>
        <v>75.123134328358205</v>
      </c>
    </row>
    <row r="7" spans="3:6" x14ac:dyDescent="0.3">
      <c r="C7" s="4"/>
      <c r="D7" s="1"/>
      <c r="E7" s="1"/>
      <c r="F7" s="1"/>
    </row>
    <row r="8" spans="3:6" x14ac:dyDescent="0.3">
      <c r="C8" s="5" t="s">
        <v>16</v>
      </c>
      <c r="D8" s="1">
        <f>AVERAGEIF('CLEAN DATA '!G:G,0,'CLEAN DATA '!D:D)</f>
        <v>30.880199999999959</v>
      </c>
      <c r="E8" s="1"/>
      <c r="F8" s="1">
        <f>AVERAGEIF('CLEAN DATA '!$G:$G,1,'CLEAN DATA '!D:D)</f>
        <v>35.381343283582041</v>
      </c>
    </row>
    <row r="9" spans="3:6" x14ac:dyDescent="0.3">
      <c r="C9" s="4"/>
      <c r="D9" s="1"/>
      <c r="E9" s="1"/>
      <c r="F9" s="1"/>
    </row>
    <row r="10" spans="3:6" x14ac:dyDescent="0.3">
      <c r="C10" s="5" t="s">
        <v>17</v>
      </c>
      <c r="D10" s="1">
        <f>AVERAGEIF('CLEAN DATA '!G:G,0,'CLEAN DATA '!F:F)</f>
        <v>31.19</v>
      </c>
      <c r="E10" s="1"/>
      <c r="F10" s="1">
        <f>AVERAGEIF('CLEAN DATA '!$G:$G,1,'CLEAN DATA '!F:F)</f>
        <v>37.067164179104481</v>
      </c>
    </row>
    <row r="13" spans="3:6" s="6" customFormat="1" x14ac:dyDescent="0.3"/>
    <row r="14" spans="3:6" x14ac:dyDescent="0.3">
      <c r="C14" s="4"/>
      <c r="D14" s="1"/>
      <c r="E14" s="1"/>
      <c r="F14" s="1"/>
    </row>
    <row r="15" spans="3:6" x14ac:dyDescent="0.3">
      <c r="C15" s="5" t="s">
        <v>18</v>
      </c>
      <c r="D15" s="1">
        <f t="array" ref="D15">MEDIAN(IF('CLEAN DATA '!$G$2:$G$769=0,'CLEAN DATA '!$B$2:$B$769))</f>
        <v>107.5</v>
      </c>
      <c r="E15" s="1"/>
      <c r="F15" s="1">
        <f t="array" ref="F15">MEDIAN(IF('CLEAN DATA '!$G$2:$G$769=1,'CLEAN DATA '!$B$2:$B$769))</f>
        <v>140</v>
      </c>
    </row>
    <row r="16" spans="3:6" x14ac:dyDescent="0.3">
      <c r="C16" s="4"/>
      <c r="D16" s="1"/>
      <c r="E16" s="1"/>
      <c r="F16" s="1"/>
    </row>
    <row r="17" spans="3:6" x14ac:dyDescent="0.3">
      <c r="C17" s="5" t="s">
        <v>19</v>
      </c>
      <c r="D17" s="1">
        <f t="array" ref="D17">MEDIAN(IF('CLEAN DATA '!$G$2:$G$769=0,'CLEAN DATA '!$C$2:$C$769))</f>
        <v>72</v>
      </c>
      <c r="E17" s="1"/>
      <c r="F17" s="1">
        <f t="array" ref="F17">MEDIAN(IF('CLEAN DATA '!$G$2:$G$769=1,'CLEAN DATA '!$C$2:$C$769))</f>
        <v>74</v>
      </c>
    </row>
    <row r="18" spans="3:6" x14ac:dyDescent="0.3">
      <c r="C18" s="4"/>
      <c r="D18" s="1"/>
      <c r="E18" s="1"/>
      <c r="F18" s="1"/>
    </row>
    <row r="19" spans="3:6" x14ac:dyDescent="0.3">
      <c r="C19" s="5" t="s">
        <v>20</v>
      </c>
      <c r="D19" s="1">
        <f t="array" ref="D19">MEDIAN(IF('CLEAN DATA '!$G$2:$G$769=0,'CLEAN DATA '!$D$2:$D$769))</f>
        <v>30.4</v>
      </c>
      <c r="E19" s="1"/>
      <c r="F19" s="1">
        <f t="array" ref="F19">MEDIAN(IF('CLEAN DATA '!$G$2:$G$769=1,'CLEAN DATA '!$D$2:$D$769))</f>
        <v>34.25</v>
      </c>
    </row>
    <row r="20" spans="3:6" x14ac:dyDescent="0.3">
      <c r="C20" s="4"/>
      <c r="D20" s="1"/>
      <c r="E20" s="1"/>
      <c r="F20" s="1"/>
    </row>
    <row r="21" spans="3:6" x14ac:dyDescent="0.3">
      <c r="C21" s="5" t="s">
        <v>21</v>
      </c>
      <c r="D21" s="1">
        <f t="array" ref="D21">MEDIAN(IF('CLEAN DATA '!$G$2:$G$769=0,'CLEAN DATA '!$F$2:$F$769))</f>
        <v>27</v>
      </c>
      <c r="E21" s="1"/>
      <c r="F21" s="1">
        <f t="array" ref="F21">MEDIAN(IF('CLEAN DATA '!$G$2:$G$769=1,'CLEAN DATA '!$F$2:$F$769))</f>
        <v>36</v>
      </c>
    </row>
    <row r="24" spans="3:6" s="7" customFormat="1" x14ac:dyDescent="0.3"/>
    <row r="25" spans="3:6" x14ac:dyDescent="0.3">
      <c r="C25" s="8" t="s">
        <v>22</v>
      </c>
      <c r="D25" s="1">
        <f t="array" ref="D25">_xlfn.STDEV.S(IF('CLEAN DATA '!$G$2:$G$769=0,'CLEAN DATA '!$B$2:$B$769))</f>
        <v>24.707200722361698</v>
      </c>
      <c r="E25" s="10"/>
      <c r="F25" s="10">
        <f t="array" ref="F25">_xlfn.STDEV.S(IF('CLEAN DATA '!$G$2:$G$769=1,'CLEAN DATA '!$B$2:$B$769))</f>
        <v>29.568838561472894</v>
      </c>
    </row>
    <row r="26" spans="3:6" x14ac:dyDescent="0.3">
      <c r="C26" s="9"/>
      <c r="D26" s="1"/>
      <c r="E26" s="10"/>
      <c r="F26" s="10"/>
    </row>
    <row r="27" spans="3:6" x14ac:dyDescent="0.3">
      <c r="C27" s="8" t="s">
        <v>23</v>
      </c>
      <c r="D27" s="1">
        <f t="array" ref="D27">_xlfn.STDEV.S(IF('CLEAN DATA '!$G$2:$G$769=0,'CLEAN DATA '!$C$2:$C$769))</f>
        <v>11.929384746954948</v>
      </c>
      <c r="E27" s="10"/>
      <c r="F27" s="10">
        <f t="array" ref="F27">_xlfn.STDEV.S(IF('CLEAN DATA '!$G$2:$G$769=1,'CLEAN DATA '!$C$2:$C$769))</f>
        <v>11.95167180996239</v>
      </c>
    </row>
    <row r="28" spans="3:6" x14ac:dyDescent="0.3">
      <c r="C28" s="9"/>
      <c r="D28" s="1"/>
      <c r="E28" s="10"/>
      <c r="F28" s="10"/>
    </row>
    <row r="29" spans="3:6" x14ac:dyDescent="0.3">
      <c r="C29" s="8" t="s">
        <v>24</v>
      </c>
      <c r="D29" s="1">
        <f t="array" ref="D29">_xlfn.STDEV.S(IF('CLEAN DATA '!$G$2:$G$769=0,'CLEAN DATA '!$D$2:$D$769))</f>
        <v>6.5030737267690846</v>
      </c>
      <c r="E29" s="10"/>
      <c r="F29" s="10">
        <f t="array" ref="F29">_xlfn.STDEV.S(IF('CLEAN DATA '!$G$2:$G$769=1,'CLEAN DATA '!$D$2:$D$769))</f>
        <v>6.5967040676292354</v>
      </c>
    </row>
    <row r="30" spans="3:6" x14ac:dyDescent="0.3">
      <c r="C30" s="9"/>
      <c r="D30" s="1"/>
      <c r="E30" s="10"/>
      <c r="F30" s="10"/>
    </row>
    <row r="31" spans="3:6" x14ac:dyDescent="0.3">
      <c r="C31" s="8" t="s">
        <v>25</v>
      </c>
      <c r="D31" s="1">
        <f t="array" ref="D31">_xlfn.STDEV.S(IF('CLEAN DATA '!$G$2:$G$769=0,'CLEAN DATA '!$F$2:$F$769))</f>
        <v>11.667654791631152</v>
      </c>
      <c r="E31" s="10"/>
      <c r="F31" s="10">
        <f t="array" ref="F31">_xlfn.STDEV.S(IF('CLEAN DATA '!$G$2:$G$769=1,'CLEAN DATA '!$F$2:$F$769))</f>
        <v>10.96825365236791</v>
      </c>
    </row>
  </sheetData>
  <pageMargins left="0.7" right="0.7" top="0.75" bottom="0.75" header="0.511811023622047" footer="0.511811023622047"/>
  <pageSetup paperSize="9" orientation="portrait" horizontalDpi="300" verticalDpi="300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C5:I8"/>
  <sheetViews>
    <sheetView tabSelected="1" topLeftCell="B1" zoomScaleNormal="100" workbookViewId="0">
      <selection activeCell="F17" sqref="F17"/>
    </sheetView>
  </sheetViews>
  <sheetFormatPr defaultColWidth="8.6640625" defaultRowHeight="14.4" x14ac:dyDescent="0.3"/>
  <cols>
    <col min="3" max="3" width="21.6640625" customWidth="1"/>
    <col min="4" max="4" width="30.5546875" customWidth="1"/>
    <col min="5" max="5" width="24.5546875" customWidth="1"/>
    <col min="6" max="6" width="25" customWidth="1"/>
    <col min="7" max="7" width="46.88671875" customWidth="1"/>
    <col min="8" max="8" width="25.88671875" customWidth="1"/>
    <col min="9" max="9" width="21.88671875" customWidth="1"/>
    <col min="10" max="10" width="17.33203125" bestFit="1" customWidth="1"/>
    <col min="11" max="11" width="14.109375" bestFit="1" customWidth="1"/>
    <col min="12" max="12" width="33" bestFit="1" customWidth="1"/>
    <col min="13" max="13" width="20.88671875" bestFit="1" customWidth="1"/>
    <col min="14" max="14" width="22.88671875" bestFit="1" customWidth="1"/>
    <col min="15" max="15" width="17.33203125" bestFit="1" customWidth="1"/>
    <col min="16" max="16" width="14.109375" bestFit="1" customWidth="1"/>
    <col min="17" max="17" width="33" bestFit="1" customWidth="1"/>
    <col min="18" max="18" width="20.88671875" bestFit="1" customWidth="1"/>
    <col min="19" max="19" width="22.88671875" bestFit="1" customWidth="1"/>
    <col min="20" max="20" width="17.33203125" bestFit="1" customWidth="1"/>
    <col min="21" max="21" width="14.109375" bestFit="1" customWidth="1"/>
    <col min="22" max="22" width="33" bestFit="1" customWidth="1"/>
    <col min="23" max="23" width="20.88671875" bestFit="1" customWidth="1"/>
    <col min="24" max="24" width="22.88671875" bestFit="1" customWidth="1"/>
    <col min="25" max="25" width="17.33203125" bestFit="1" customWidth="1"/>
    <col min="26" max="26" width="14.109375" bestFit="1" customWidth="1"/>
    <col min="27" max="27" width="33" bestFit="1" customWidth="1"/>
    <col min="28" max="28" width="20.88671875" bestFit="1" customWidth="1"/>
    <col min="29" max="29" width="22.88671875" bestFit="1" customWidth="1"/>
    <col min="30" max="30" width="17.33203125" bestFit="1" customWidth="1"/>
    <col min="31" max="31" width="14.109375" bestFit="1" customWidth="1"/>
    <col min="32" max="32" width="33" bestFit="1" customWidth="1"/>
    <col min="33" max="33" width="20.88671875" bestFit="1" customWidth="1"/>
    <col min="34" max="34" width="22.88671875" bestFit="1" customWidth="1"/>
    <col min="35" max="35" width="17.33203125" bestFit="1" customWidth="1"/>
    <col min="36" max="36" width="14.109375" bestFit="1" customWidth="1"/>
    <col min="37" max="37" width="33" bestFit="1" customWidth="1"/>
    <col min="38" max="38" width="20.88671875" bestFit="1" customWidth="1"/>
    <col min="39" max="39" width="22.88671875" bestFit="1" customWidth="1"/>
    <col min="40" max="40" width="17.33203125" bestFit="1" customWidth="1"/>
    <col min="41" max="41" width="14.109375" bestFit="1" customWidth="1"/>
    <col min="42" max="42" width="33" bestFit="1" customWidth="1"/>
    <col min="43" max="43" width="20.88671875" bestFit="1" customWidth="1"/>
    <col min="44" max="44" width="22.88671875" bestFit="1" customWidth="1"/>
    <col min="45" max="45" width="17.33203125" bestFit="1" customWidth="1"/>
    <col min="46" max="46" width="14.109375" bestFit="1" customWidth="1"/>
    <col min="47" max="47" width="33" bestFit="1" customWidth="1"/>
    <col min="48" max="48" width="20.88671875" bestFit="1" customWidth="1"/>
    <col min="49" max="49" width="22.88671875" bestFit="1" customWidth="1"/>
    <col min="50" max="50" width="17.33203125" bestFit="1" customWidth="1"/>
    <col min="51" max="51" width="14.109375" bestFit="1" customWidth="1"/>
    <col min="52" max="52" width="33" bestFit="1" customWidth="1"/>
    <col min="53" max="53" width="20.88671875" bestFit="1" customWidth="1"/>
    <col min="54" max="54" width="22.88671875" bestFit="1" customWidth="1"/>
    <col min="55" max="55" width="17.33203125" bestFit="1" customWidth="1"/>
    <col min="56" max="56" width="14.109375" bestFit="1" customWidth="1"/>
    <col min="57" max="57" width="33" bestFit="1" customWidth="1"/>
    <col min="58" max="58" width="20.88671875" bestFit="1" customWidth="1"/>
    <col min="59" max="59" width="22.88671875" bestFit="1" customWidth="1"/>
    <col min="60" max="60" width="17.33203125" bestFit="1" customWidth="1"/>
    <col min="61" max="61" width="14.109375" bestFit="1" customWidth="1"/>
    <col min="62" max="62" width="33" bestFit="1" customWidth="1"/>
    <col min="63" max="63" width="20.88671875" bestFit="1" customWidth="1"/>
    <col min="64" max="64" width="22.88671875" bestFit="1" customWidth="1"/>
    <col min="65" max="65" width="17.33203125" bestFit="1" customWidth="1"/>
    <col min="66" max="66" width="14.109375" bestFit="1" customWidth="1"/>
    <col min="67" max="67" width="33" bestFit="1" customWidth="1"/>
    <col min="68" max="68" width="20.88671875" bestFit="1" customWidth="1"/>
    <col min="69" max="69" width="22.88671875" bestFit="1" customWidth="1"/>
    <col min="70" max="70" width="17.33203125" bestFit="1" customWidth="1"/>
    <col min="71" max="71" width="14.109375" bestFit="1" customWidth="1"/>
    <col min="72" max="72" width="33" bestFit="1" customWidth="1"/>
    <col min="73" max="73" width="20.88671875" bestFit="1" customWidth="1"/>
    <col min="74" max="74" width="22.88671875" bestFit="1" customWidth="1"/>
    <col min="75" max="75" width="17.33203125" bestFit="1" customWidth="1"/>
    <col min="76" max="76" width="14.109375" bestFit="1" customWidth="1"/>
    <col min="77" max="77" width="33" bestFit="1" customWidth="1"/>
    <col min="78" max="78" width="20.88671875" bestFit="1" customWidth="1"/>
    <col min="79" max="79" width="22.88671875" bestFit="1" customWidth="1"/>
    <col min="80" max="80" width="17.33203125" bestFit="1" customWidth="1"/>
    <col min="81" max="81" width="14.109375" bestFit="1" customWidth="1"/>
    <col min="82" max="82" width="33" bestFit="1" customWidth="1"/>
    <col min="83" max="83" width="20.88671875" bestFit="1" customWidth="1"/>
    <col min="84" max="84" width="22.88671875" bestFit="1" customWidth="1"/>
    <col min="85" max="85" width="17.33203125" bestFit="1" customWidth="1"/>
    <col min="86" max="86" width="14.109375" bestFit="1" customWidth="1"/>
    <col min="87" max="87" width="33" bestFit="1" customWidth="1"/>
    <col min="88" max="88" width="20.88671875" bestFit="1" customWidth="1"/>
    <col min="89" max="89" width="22.88671875" bestFit="1" customWidth="1"/>
    <col min="90" max="90" width="17.33203125" bestFit="1" customWidth="1"/>
    <col min="91" max="91" width="14.109375" bestFit="1" customWidth="1"/>
    <col min="92" max="92" width="33" bestFit="1" customWidth="1"/>
    <col min="93" max="93" width="20.88671875" bestFit="1" customWidth="1"/>
    <col min="94" max="94" width="22.88671875" bestFit="1" customWidth="1"/>
    <col min="95" max="95" width="17.33203125" bestFit="1" customWidth="1"/>
    <col min="96" max="96" width="14.109375" bestFit="1" customWidth="1"/>
    <col min="97" max="97" width="33" bestFit="1" customWidth="1"/>
    <col min="98" max="98" width="20.88671875" bestFit="1" customWidth="1"/>
    <col min="99" max="99" width="22.88671875" bestFit="1" customWidth="1"/>
    <col min="100" max="100" width="17.33203125" bestFit="1" customWidth="1"/>
    <col min="101" max="101" width="14.109375" bestFit="1" customWidth="1"/>
    <col min="102" max="102" width="33" bestFit="1" customWidth="1"/>
    <col min="103" max="103" width="20.88671875" bestFit="1" customWidth="1"/>
    <col min="104" max="104" width="22.88671875" bestFit="1" customWidth="1"/>
    <col min="105" max="105" width="17.33203125" bestFit="1" customWidth="1"/>
    <col min="106" max="106" width="14.109375" bestFit="1" customWidth="1"/>
    <col min="107" max="107" width="33" bestFit="1" customWidth="1"/>
    <col min="108" max="108" width="20.88671875" bestFit="1" customWidth="1"/>
    <col min="109" max="109" width="22.88671875" bestFit="1" customWidth="1"/>
    <col min="110" max="110" width="17.33203125" bestFit="1" customWidth="1"/>
    <col min="111" max="111" width="14.109375" bestFit="1" customWidth="1"/>
    <col min="112" max="112" width="33" bestFit="1" customWidth="1"/>
    <col min="113" max="113" width="20.88671875" bestFit="1" customWidth="1"/>
    <col min="114" max="114" width="22.88671875" bestFit="1" customWidth="1"/>
    <col min="115" max="115" width="17.33203125" bestFit="1" customWidth="1"/>
    <col min="116" max="116" width="14.109375" bestFit="1" customWidth="1"/>
    <col min="117" max="117" width="33" bestFit="1" customWidth="1"/>
    <col min="118" max="118" width="20.88671875" bestFit="1" customWidth="1"/>
    <col min="119" max="119" width="22.88671875" bestFit="1" customWidth="1"/>
    <col min="120" max="120" width="17.33203125" bestFit="1" customWidth="1"/>
    <col min="121" max="121" width="14.109375" bestFit="1" customWidth="1"/>
    <col min="122" max="122" width="33" bestFit="1" customWidth="1"/>
    <col min="123" max="123" width="20.88671875" bestFit="1" customWidth="1"/>
    <col min="124" max="124" width="22.88671875" bestFit="1" customWidth="1"/>
    <col min="125" max="125" width="17.33203125" bestFit="1" customWidth="1"/>
    <col min="126" max="126" width="14.109375" bestFit="1" customWidth="1"/>
    <col min="127" max="127" width="33" bestFit="1" customWidth="1"/>
    <col min="128" max="128" width="20.88671875" bestFit="1" customWidth="1"/>
    <col min="129" max="129" width="22.88671875" bestFit="1" customWidth="1"/>
    <col min="130" max="130" width="17.33203125" bestFit="1" customWidth="1"/>
    <col min="131" max="131" width="14.109375" bestFit="1" customWidth="1"/>
    <col min="132" max="132" width="33" bestFit="1" customWidth="1"/>
    <col min="133" max="133" width="20.88671875" bestFit="1" customWidth="1"/>
    <col min="134" max="134" width="22.88671875" bestFit="1" customWidth="1"/>
    <col min="135" max="135" width="17.33203125" bestFit="1" customWidth="1"/>
    <col min="136" max="136" width="14.109375" bestFit="1" customWidth="1"/>
    <col min="137" max="137" width="33" bestFit="1" customWidth="1"/>
    <col min="138" max="138" width="20.88671875" bestFit="1" customWidth="1"/>
    <col min="139" max="139" width="22.88671875" bestFit="1" customWidth="1"/>
    <col min="140" max="140" width="17.33203125" bestFit="1" customWidth="1"/>
    <col min="141" max="141" width="14.109375" bestFit="1" customWidth="1"/>
    <col min="142" max="142" width="33" bestFit="1" customWidth="1"/>
    <col min="143" max="143" width="20.88671875" bestFit="1" customWidth="1"/>
    <col min="144" max="144" width="22.88671875" bestFit="1" customWidth="1"/>
    <col min="145" max="145" width="17.33203125" bestFit="1" customWidth="1"/>
    <col min="146" max="146" width="14.109375" bestFit="1" customWidth="1"/>
    <col min="147" max="147" width="33" bestFit="1" customWidth="1"/>
    <col min="148" max="148" width="20.88671875" bestFit="1" customWidth="1"/>
    <col min="149" max="149" width="22.88671875" bestFit="1" customWidth="1"/>
    <col min="150" max="150" width="17.33203125" bestFit="1" customWidth="1"/>
    <col min="151" max="151" width="14.109375" bestFit="1" customWidth="1"/>
    <col min="152" max="152" width="33" bestFit="1" customWidth="1"/>
    <col min="153" max="153" width="20.88671875" bestFit="1" customWidth="1"/>
    <col min="154" max="154" width="22.88671875" bestFit="1" customWidth="1"/>
    <col min="155" max="155" width="17.33203125" bestFit="1" customWidth="1"/>
    <col min="156" max="156" width="14.109375" bestFit="1" customWidth="1"/>
    <col min="157" max="157" width="33" bestFit="1" customWidth="1"/>
    <col min="158" max="158" width="20.88671875" bestFit="1" customWidth="1"/>
    <col min="159" max="159" width="22.88671875" bestFit="1" customWidth="1"/>
    <col min="160" max="160" width="17.33203125" bestFit="1" customWidth="1"/>
    <col min="161" max="161" width="14.109375" bestFit="1" customWidth="1"/>
    <col min="162" max="162" width="33" bestFit="1" customWidth="1"/>
    <col min="163" max="163" width="20.88671875" bestFit="1" customWidth="1"/>
    <col min="164" max="164" width="22.88671875" bestFit="1" customWidth="1"/>
    <col min="165" max="165" width="17.33203125" bestFit="1" customWidth="1"/>
    <col min="166" max="166" width="14.109375" bestFit="1" customWidth="1"/>
    <col min="167" max="167" width="33" bestFit="1" customWidth="1"/>
    <col min="168" max="168" width="20.88671875" bestFit="1" customWidth="1"/>
    <col min="169" max="169" width="22.88671875" bestFit="1" customWidth="1"/>
    <col min="170" max="170" width="17.33203125" bestFit="1" customWidth="1"/>
    <col min="171" max="171" width="14.109375" bestFit="1" customWidth="1"/>
    <col min="172" max="172" width="33" bestFit="1" customWidth="1"/>
    <col min="173" max="173" width="20.88671875" bestFit="1" customWidth="1"/>
    <col min="174" max="174" width="22.88671875" bestFit="1" customWidth="1"/>
    <col min="175" max="175" width="17.33203125" bestFit="1" customWidth="1"/>
    <col min="176" max="176" width="14.109375" bestFit="1" customWidth="1"/>
    <col min="177" max="177" width="33" bestFit="1" customWidth="1"/>
    <col min="178" max="178" width="20.88671875" bestFit="1" customWidth="1"/>
    <col min="179" max="179" width="22.88671875" bestFit="1" customWidth="1"/>
    <col min="180" max="180" width="17.33203125" bestFit="1" customWidth="1"/>
    <col min="181" max="181" width="14.109375" bestFit="1" customWidth="1"/>
    <col min="182" max="182" width="33" bestFit="1" customWidth="1"/>
    <col min="183" max="183" width="20.88671875" bestFit="1" customWidth="1"/>
    <col min="184" max="184" width="22.88671875" bestFit="1" customWidth="1"/>
    <col min="185" max="185" width="17.33203125" bestFit="1" customWidth="1"/>
    <col min="186" max="186" width="14.109375" bestFit="1" customWidth="1"/>
    <col min="187" max="187" width="33" bestFit="1" customWidth="1"/>
    <col min="188" max="188" width="20.88671875" bestFit="1" customWidth="1"/>
    <col min="189" max="189" width="22.88671875" bestFit="1" customWidth="1"/>
    <col min="190" max="190" width="17.33203125" bestFit="1" customWidth="1"/>
    <col min="191" max="191" width="14.109375" bestFit="1" customWidth="1"/>
    <col min="192" max="192" width="33" bestFit="1" customWidth="1"/>
    <col min="193" max="193" width="20.88671875" bestFit="1" customWidth="1"/>
    <col min="194" max="194" width="22.88671875" bestFit="1" customWidth="1"/>
    <col min="195" max="195" width="17.33203125" bestFit="1" customWidth="1"/>
    <col min="196" max="196" width="14.109375" bestFit="1" customWidth="1"/>
    <col min="197" max="197" width="33" bestFit="1" customWidth="1"/>
    <col min="198" max="198" width="20.88671875" bestFit="1" customWidth="1"/>
    <col min="199" max="199" width="22.88671875" bestFit="1" customWidth="1"/>
    <col min="200" max="200" width="17.33203125" bestFit="1" customWidth="1"/>
    <col min="201" max="201" width="14.109375" bestFit="1" customWidth="1"/>
    <col min="202" max="202" width="33" bestFit="1" customWidth="1"/>
    <col min="203" max="203" width="20.88671875" bestFit="1" customWidth="1"/>
    <col min="204" max="204" width="22.88671875" bestFit="1" customWidth="1"/>
    <col min="205" max="205" width="17.33203125" bestFit="1" customWidth="1"/>
    <col min="206" max="206" width="14.109375" bestFit="1" customWidth="1"/>
    <col min="207" max="207" width="33" bestFit="1" customWidth="1"/>
    <col min="208" max="208" width="20.88671875" bestFit="1" customWidth="1"/>
    <col min="209" max="209" width="22.88671875" bestFit="1" customWidth="1"/>
    <col min="210" max="210" width="17.33203125" bestFit="1" customWidth="1"/>
    <col min="211" max="211" width="14.109375" bestFit="1" customWidth="1"/>
    <col min="212" max="212" width="33" bestFit="1" customWidth="1"/>
    <col min="213" max="213" width="20.88671875" bestFit="1" customWidth="1"/>
    <col min="214" max="214" width="22.88671875" bestFit="1" customWidth="1"/>
    <col min="215" max="215" width="17.33203125" bestFit="1" customWidth="1"/>
    <col min="216" max="216" width="14.109375" bestFit="1" customWidth="1"/>
    <col min="217" max="217" width="33" bestFit="1" customWidth="1"/>
    <col min="218" max="218" width="20.88671875" bestFit="1" customWidth="1"/>
    <col min="219" max="219" width="22.88671875" bestFit="1" customWidth="1"/>
    <col min="220" max="220" width="17.33203125" bestFit="1" customWidth="1"/>
    <col min="221" max="221" width="14.109375" bestFit="1" customWidth="1"/>
    <col min="222" max="222" width="33" bestFit="1" customWidth="1"/>
    <col min="223" max="223" width="20.88671875" bestFit="1" customWidth="1"/>
    <col min="224" max="224" width="22.88671875" bestFit="1" customWidth="1"/>
    <col min="225" max="225" width="17.33203125" bestFit="1" customWidth="1"/>
    <col min="226" max="226" width="14.109375" bestFit="1" customWidth="1"/>
    <col min="227" max="227" width="33" bestFit="1" customWidth="1"/>
    <col min="228" max="228" width="20.88671875" bestFit="1" customWidth="1"/>
    <col min="229" max="229" width="22.88671875" bestFit="1" customWidth="1"/>
    <col min="230" max="230" width="17.33203125" bestFit="1" customWidth="1"/>
    <col min="231" max="231" width="14.109375" bestFit="1" customWidth="1"/>
    <col min="232" max="232" width="33" bestFit="1" customWidth="1"/>
    <col min="233" max="233" width="20.88671875" bestFit="1" customWidth="1"/>
    <col min="234" max="234" width="22.88671875" bestFit="1" customWidth="1"/>
    <col min="235" max="235" width="17.33203125" bestFit="1" customWidth="1"/>
    <col min="236" max="236" width="14.109375" bestFit="1" customWidth="1"/>
    <col min="237" max="237" width="33" bestFit="1" customWidth="1"/>
    <col min="238" max="238" width="20.88671875" bestFit="1" customWidth="1"/>
    <col min="239" max="239" width="22.88671875" bestFit="1" customWidth="1"/>
    <col min="240" max="240" width="17.33203125" bestFit="1" customWidth="1"/>
    <col min="241" max="241" width="14.109375" bestFit="1" customWidth="1"/>
    <col min="242" max="242" width="33" bestFit="1" customWidth="1"/>
    <col min="243" max="243" width="20.88671875" bestFit="1" customWidth="1"/>
    <col min="244" max="244" width="22.88671875" bestFit="1" customWidth="1"/>
    <col min="245" max="245" width="17.33203125" bestFit="1" customWidth="1"/>
    <col min="246" max="246" width="14.109375" bestFit="1" customWidth="1"/>
    <col min="247" max="247" width="33" bestFit="1" customWidth="1"/>
    <col min="248" max="248" width="20.88671875" bestFit="1" customWidth="1"/>
    <col min="249" max="249" width="22.88671875" bestFit="1" customWidth="1"/>
    <col min="250" max="250" width="17.33203125" bestFit="1" customWidth="1"/>
    <col min="251" max="251" width="14.109375" bestFit="1" customWidth="1"/>
    <col min="252" max="252" width="33" bestFit="1" customWidth="1"/>
    <col min="253" max="253" width="20.88671875" bestFit="1" customWidth="1"/>
    <col min="254" max="254" width="22.88671875" bestFit="1" customWidth="1"/>
    <col min="255" max="255" width="17.33203125" bestFit="1" customWidth="1"/>
    <col min="256" max="256" width="14.109375" bestFit="1" customWidth="1"/>
    <col min="257" max="257" width="33" bestFit="1" customWidth="1"/>
    <col min="258" max="258" width="20.88671875" bestFit="1" customWidth="1"/>
    <col min="259" max="259" width="22.88671875" bestFit="1" customWidth="1"/>
    <col min="260" max="260" width="17.33203125" bestFit="1" customWidth="1"/>
    <col min="261" max="261" width="14.109375" bestFit="1" customWidth="1"/>
    <col min="262" max="262" width="33" bestFit="1" customWidth="1"/>
    <col min="263" max="263" width="20.88671875" bestFit="1" customWidth="1"/>
    <col min="264" max="264" width="27.6640625" bestFit="1" customWidth="1"/>
    <col min="265" max="265" width="22.109375" bestFit="1" customWidth="1"/>
    <col min="266" max="266" width="18.88671875" bestFit="1" customWidth="1"/>
    <col min="267" max="267" width="37.88671875" bestFit="1" customWidth="1"/>
    <col min="268" max="268" width="25.77734375" bestFit="1" customWidth="1"/>
    <col min="269" max="269" width="14.109375" bestFit="1" customWidth="1"/>
    <col min="270" max="270" width="33" bestFit="1" customWidth="1"/>
    <col min="271" max="271" width="20.88671875" bestFit="1" customWidth="1"/>
    <col min="272" max="272" width="22.88671875" bestFit="1" customWidth="1"/>
    <col min="273" max="273" width="14.109375" bestFit="1" customWidth="1"/>
    <col min="274" max="274" width="33" bestFit="1" customWidth="1"/>
    <col min="275" max="275" width="20.88671875" bestFit="1" customWidth="1"/>
    <col min="276" max="276" width="22.88671875" bestFit="1" customWidth="1"/>
    <col min="277" max="277" width="14.109375" bestFit="1" customWidth="1"/>
    <col min="278" max="278" width="33" bestFit="1" customWidth="1"/>
    <col min="279" max="279" width="20.88671875" bestFit="1" customWidth="1"/>
    <col min="280" max="280" width="22.88671875" bestFit="1" customWidth="1"/>
    <col min="281" max="281" width="14.109375" bestFit="1" customWidth="1"/>
    <col min="282" max="282" width="33" bestFit="1" customWidth="1"/>
    <col min="283" max="283" width="20.88671875" bestFit="1" customWidth="1"/>
    <col min="284" max="284" width="22.88671875" bestFit="1" customWidth="1"/>
    <col min="285" max="285" width="14.109375" bestFit="1" customWidth="1"/>
    <col min="286" max="286" width="33" bestFit="1" customWidth="1"/>
    <col min="287" max="287" width="20.88671875" bestFit="1" customWidth="1"/>
    <col min="288" max="288" width="22.88671875" bestFit="1" customWidth="1"/>
    <col min="289" max="289" width="14.109375" bestFit="1" customWidth="1"/>
    <col min="290" max="290" width="33" bestFit="1" customWidth="1"/>
    <col min="291" max="291" width="20.88671875" bestFit="1" customWidth="1"/>
    <col min="292" max="292" width="22.88671875" bestFit="1" customWidth="1"/>
    <col min="293" max="293" width="14.109375" bestFit="1" customWidth="1"/>
    <col min="294" max="294" width="33" bestFit="1" customWidth="1"/>
    <col min="295" max="295" width="20.88671875" bestFit="1" customWidth="1"/>
    <col min="296" max="296" width="22.88671875" bestFit="1" customWidth="1"/>
    <col min="297" max="297" width="14.109375" bestFit="1" customWidth="1"/>
    <col min="298" max="298" width="33" bestFit="1" customWidth="1"/>
    <col min="299" max="299" width="20.88671875" bestFit="1" customWidth="1"/>
    <col min="300" max="300" width="22.88671875" bestFit="1" customWidth="1"/>
    <col min="301" max="301" width="14.109375" bestFit="1" customWidth="1"/>
    <col min="302" max="302" width="33" bestFit="1" customWidth="1"/>
    <col min="303" max="303" width="20.88671875" bestFit="1" customWidth="1"/>
    <col min="304" max="304" width="22.88671875" bestFit="1" customWidth="1"/>
    <col min="305" max="305" width="14.109375" bestFit="1" customWidth="1"/>
    <col min="306" max="306" width="33" bestFit="1" customWidth="1"/>
    <col min="307" max="307" width="20.88671875" bestFit="1" customWidth="1"/>
    <col min="308" max="308" width="22.88671875" bestFit="1" customWidth="1"/>
    <col min="309" max="309" width="14.109375" bestFit="1" customWidth="1"/>
    <col min="310" max="310" width="33" bestFit="1" customWidth="1"/>
    <col min="311" max="311" width="20.88671875" bestFit="1" customWidth="1"/>
    <col min="312" max="312" width="22.88671875" bestFit="1" customWidth="1"/>
    <col min="313" max="313" width="14.109375" bestFit="1" customWidth="1"/>
    <col min="314" max="314" width="33" bestFit="1" customWidth="1"/>
    <col min="315" max="315" width="20.88671875" bestFit="1" customWidth="1"/>
    <col min="316" max="316" width="22.88671875" bestFit="1" customWidth="1"/>
    <col min="317" max="317" width="14.109375" bestFit="1" customWidth="1"/>
    <col min="318" max="318" width="33" bestFit="1" customWidth="1"/>
    <col min="319" max="319" width="20.88671875" bestFit="1" customWidth="1"/>
    <col min="320" max="320" width="22.88671875" bestFit="1" customWidth="1"/>
    <col min="321" max="321" width="14.109375" bestFit="1" customWidth="1"/>
    <col min="322" max="322" width="33" bestFit="1" customWidth="1"/>
    <col min="323" max="323" width="20.88671875" bestFit="1" customWidth="1"/>
    <col min="324" max="324" width="22.88671875" bestFit="1" customWidth="1"/>
    <col min="325" max="325" width="14.109375" bestFit="1" customWidth="1"/>
    <col min="326" max="326" width="33" bestFit="1" customWidth="1"/>
    <col min="327" max="327" width="20.88671875" bestFit="1" customWidth="1"/>
    <col min="328" max="328" width="22.88671875" bestFit="1" customWidth="1"/>
    <col min="329" max="329" width="14.109375" bestFit="1" customWidth="1"/>
    <col min="330" max="330" width="33" bestFit="1" customWidth="1"/>
    <col min="331" max="331" width="20.88671875" bestFit="1" customWidth="1"/>
    <col min="332" max="332" width="22.88671875" bestFit="1" customWidth="1"/>
    <col min="333" max="333" width="14.109375" bestFit="1" customWidth="1"/>
    <col min="334" max="334" width="33" bestFit="1" customWidth="1"/>
    <col min="335" max="335" width="20.88671875" bestFit="1" customWidth="1"/>
    <col min="336" max="336" width="22.88671875" bestFit="1" customWidth="1"/>
    <col min="337" max="337" width="14.109375" bestFit="1" customWidth="1"/>
    <col min="338" max="338" width="33" bestFit="1" customWidth="1"/>
    <col min="339" max="339" width="20.88671875" bestFit="1" customWidth="1"/>
    <col min="340" max="340" width="22.88671875" bestFit="1" customWidth="1"/>
    <col min="341" max="341" width="14.109375" bestFit="1" customWidth="1"/>
    <col min="342" max="342" width="33" bestFit="1" customWidth="1"/>
    <col min="343" max="343" width="20.88671875" bestFit="1" customWidth="1"/>
    <col min="344" max="344" width="22.88671875" bestFit="1" customWidth="1"/>
    <col min="345" max="345" width="14.109375" bestFit="1" customWidth="1"/>
    <col min="346" max="346" width="33" bestFit="1" customWidth="1"/>
    <col min="347" max="347" width="20.88671875" bestFit="1" customWidth="1"/>
    <col min="348" max="348" width="22.88671875" bestFit="1" customWidth="1"/>
    <col min="349" max="349" width="14.109375" bestFit="1" customWidth="1"/>
    <col min="350" max="350" width="33" bestFit="1" customWidth="1"/>
    <col min="351" max="351" width="20.88671875" bestFit="1" customWidth="1"/>
    <col min="352" max="352" width="22.88671875" bestFit="1" customWidth="1"/>
    <col min="353" max="353" width="14.109375" bestFit="1" customWidth="1"/>
    <col min="354" max="354" width="33" bestFit="1" customWidth="1"/>
    <col min="355" max="355" width="20.88671875" bestFit="1" customWidth="1"/>
    <col min="356" max="356" width="22.88671875" bestFit="1" customWidth="1"/>
    <col min="357" max="357" width="14.109375" bestFit="1" customWidth="1"/>
    <col min="358" max="358" width="33" bestFit="1" customWidth="1"/>
    <col min="359" max="359" width="20.88671875" bestFit="1" customWidth="1"/>
    <col min="360" max="360" width="22.88671875" bestFit="1" customWidth="1"/>
    <col min="361" max="361" width="14.109375" bestFit="1" customWidth="1"/>
    <col min="362" max="362" width="33" bestFit="1" customWidth="1"/>
    <col min="363" max="363" width="20.88671875" bestFit="1" customWidth="1"/>
    <col min="364" max="364" width="22.88671875" bestFit="1" customWidth="1"/>
    <col min="365" max="365" width="14.109375" bestFit="1" customWidth="1"/>
    <col min="366" max="366" width="33" bestFit="1" customWidth="1"/>
    <col min="367" max="367" width="20.88671875" bestFit="1" customWidth="1"/>
    <col min="368" max="368" width="22.88671875" bestFit="1" customWidth="1"/>
    <col min="369" max="369" width="14.109375" bestFit="1" customWidth="1"/>
    <col min="370" max="370" width="33" bestFit="1" customWidth="1"/>
    <col min="371" max="371" width="20.88671875" bestFit="1" customWidth="1"/>
    <col min="372" max="372" width="22.88671875" bestFit="1" customWidth="1"/>
    <col min="373" max="373" width="14.109375" bestFit="1" customWidth="1"/>
    <col min="374" max="374" width="33" bestFit="1" customWidth="1"/>
    <col min="375" max="375" width="20.88671875" bestFit="1" customWidth="1"/>
    <col min="376" max="376" width="22.88671875" bestFit="1" customWidth="1"/>
    <col min="377" max="377" width="14.109375" bestFit="1" customWidth="1"/>
    <col min="378" max="378" width="33" bestFit="1" customWidth="1"/>
    <col min="379" max="379" width="20.88671875" bestFit="1" customWidth="1"/>
    <col min="380" max="380" width="22.88671875" bestFit="1" customWidth="1"/>
    <col min="381" max="381" width="14.109375" bestFit="1" customWidth="1"/>
    <col min="382" max="382" width="33" bestFit="1" customWidth="1"/>
    <col min="383" max="383" width="20.88671875" bestFit="1" customWidth="1"/>
    <col min="384" max="384" width="22.88671875" bestFit="1" customWidth="1"/>
    <col min="385" max="385" width="14.109375" bestFit="1" customWidth="1"/>
    <col min="386" max="386" width="33" bestFit="1" customWidth="1"/>
    <col min="387" max="387" width="20.88671875" bestFit="1" customWidth="1"/>
    <col min="388" max="388" width="22.88671875" bestFit="1" customWidth="1"/>
    <col min="389" max="389" width="14.109375" bestFit="1" customWidth="1"/>
    <col min="390" max="390" width="33" bestFit="1" customWidth="1"/>
    <col min="391" max="391" width="20.88671875" bestFit="1" customWidth="1"/>
    <col min="392" max="392" width="22.88671875" bestFit="1" customWidth="1"/>
    <col min="393" max="393" width="14.109375" bestFit="1" customWidth="1"/>
    <col min="394" max="394" width="33" bestFit="1" customWidth="1"/>
    <col min="395" max="395" width="20.88671875" bestFit="1" customWidth="1"/>
    <col min="396" max="396" width="22.88671875" bestFit="1" customWidth="1"/>
    <col min="397" max="397" width="14.109375" bestFit="1" customWidth="1"/>
    <col min="398" max="398" width="33" bestFit="1" customWidth="1"/>
    <col min="399" max="399" width="20.88671875" bestFit="1" customWidth="1"/>
    <col min="400" max="400" width="22.88671875" bestFit="1" customWidth="1"/>
    <col min="401" max="401" width="14.109375" bestFit="1" customWidth="1"/>
    <col min="402" max="402" width="33" bestFit="1" customWidth="1"/>
    <col min="403" max="403" width="20.88671875" bestFit="1" customWidth="1"/>
    <col min="404" max="404" width="22.88671875" bestFit="1" customWidth="1"/>
    <col min="405" max="405" width="14.109375" bestFit="1" customWidth="1"/>
    <col min="406" max="406" width="33" bestFit="1" customWidth="1"/>
    <col min="407" max="407" width="20.88671875" bestFit="1" customWidth="1"/>
    <col min="408" max="408" width="22.88671875" bestFit="1" customWidth="1"/>
    <col min="409" max="409" width="14.109375" bestFit="1" customWidth="1"/>
    <col min="410" max="410" width="33" bestFit="1" customWidth="1"/>
    <col min="411" max="411" width="20.88671875" bestFit="1" customWidth="1"/>
    <col min="412" max="412" width="22.88671875" bestFit="1" customWidth="1"/>
    <col min="413" max="413" width="14.109375" bestFit="1" customWidth="1"/>
    <col min="414" max="414" width="33" bestFit="1" customWidth="1"/>
    <col min="415" max="415" width="20.88671875" bestFit="1" customWidth="1"/>
    <col min="416" max="416" width="22.88671875" bestFit="1" customWidth="1"/>
    <col min="417" max="417" width="14.109375" bestFit="1" customWidth="1"/>
    <col min="418" max="418" width="33" bestFit="1" customWidth="1"/>
    <col min="419" max="419" width="20.88671875" bestFit="1" customWidth="1"/>
    <col min="420" max="420" width="22.88671875" bestFit="1" customWidth="1"/>
    <col min="421" max="421" width="14.109375" bestFit="1" customWidth="1"/>
    <col min="422" max="422" width="33" bestFit="1" customWidth="1"/>
    <col min="423" max="423" width="20.88671875" bestFit="1" customWidth="1"/>
    <col min="424" max="424" width="22.88671875" bestFit="1" customWidth="1"/>
    <col min="425" max="425" width="14.109375" bestFit="1" customWidth="1"/>
    <col min="426" max="426" width="33" bestFit="1" customWidth="1"/>
    <col min="427" max="427" width="20.88671875" bestFit="1" customWidth="1"/>
    <col min="428" max="428" width="22.88671875" bestFit="1" customWidth="1"/>
    <col min="429" max="429" width="14.109375" bestFit="1" customWidth="1"/>
    <col min="430" max="430" width="33" bestFit="1" customWidth="1"/>
    <col min="431" max="431" width="20.88671875" bestFit="1" customWidth="1"/>
    <col min="432" max="432" width="22.88671875" bestFit="1" customWidth="1"/>
    <col min="433" max="433" width="14.109375" bestFit="1" customWidth="1"/>
    <col min="434" max="434" width="33" bestFit="1" customWidth="1"/>
    <col min="435" max="435" width="20.88671875" bestFit="1" customWidth="1"/>
    <col min="436" max="436" width="22.88671875" bestFit="1" customWidth="1"/>
    <col min="437" max="437" width="14.109375" bestFit="1" customWidth="1"/>
    <col min="438" max="438" width="33" bestFit="1" customWidth="1"/>
    <col min="439" max="439" width="20.88671875" bestFit="1" customWidth="1"/>
    <col min="440" max="440" width="22.88671875" bestFit="1" customWidth="1"/>
    <col min="441" max="441" width="14.109375" bestFit="1" customWidth="1"/>
    <col min="442" max="442" width="33" bestFit="1" customWidth="1"/>
    <col min="443" max="443" width="20.88671875" bestFit="1" customWidth="1"/>
    <col min="444" max="444" width="22.88671875" bestFit="1" customWidth="1"/>
    <col min="445" max="445" width="14.109375" bestFit="1" customWidth="1"/>
    <col min="446" max="446" width="33" bestFit="1" customWidth="1"/>
    <col min="447" max="447" width="20.88671875" bestFit="1" customWidth="1"/>
    <col min="448" max="448" width="22.88671875" bestFit="1" customWidth="1"/>
    <col min="449" max="449" width="14.109375" bestFit="1" customWidth="1"/>
    <col min="450" max="450" width="33" bestFit="1" customWidth="1"/>
    <col min="451" max="451" width="20.88671875" bestFit="1" customWidth="1"/>
    <col min="452" max="452" width="22.88671875" bestFit="1" customWidth="1"/>
    <col min="453" max="453" width="14.109375" bestFit="1" customWidth="1"/>
    <col min="454" max="454" width="33" bestFit="1" customWidth="1"/>
    <col min="455" max="455" width="20.88671875" bestFit="1" customWidth="1"/>
    <col min="456" max="456" width="22.88671875" bestFit="1" customWidth="1"/>
    <col min="457" max="457" width="14.109375" bestFit="1" customWidth="1"/>
    <col min="458" max="458" width="33" bestFit="1" customWidth="1"/>
    <col min="459" max="459" width="20.88671875" bestFit="1" customWidth="1"/>
    <col min="460" max="460" width="22.88671875" bestFit="1" customWidth="1"/>
    <col min="461" max="461" width="14.109375" bestFit="1" customWidth="1"/>
    <col min="462" max="462" width="33" bestFit="1" customWidth="1"/>
    <col min="463" max="463" width="20.88671875" bestFit="1" customWidth="1"/>
    <col min="464" max="464" width="22.88671875" bestFit="1" customWidth="1"/>
    <col min="465" max="465" width="14.109375" bestFit="1" customWidth="1"/>
    <col min="466" max="466" width="33" bestFit="1" customWidth="1"/>
    <col min="467" max="467" width="20.88671875" bestFit="1" customWidth="1"/>
    <col min="468" max="468" width="22.88671875" bestFit="1" customWidth="1"/>
    <col min="469" max="469" width="14.109375" bestFit="1" customWidth="1"/>
    <col min="470" max="470" width="33" bestFit="1" customWidth="1"/>
    <col min="471" max="471" width="20.88671875" bestFit="1" customWidth="1"/>
    <col min="472" max="472" width="22.88671875" bestFit="1" customWidth="1"/>
    <col min="473" max="473" width="14.109375" bestFit="1" customWidth="1"/>
    <col min="474" max="474" width="33" bestFit="1" customWidth="1"/>
    <col min="475" max="475" width="20.88671875" bestFit="1" customWidth="1"/>
    <col min="476" max="476" width="22.88671875" bestFit="1" customWidth="1"/>
    <col min="477" max="477" width="14.109375" bestFit="1" customWidth="1"/>
    <col min="478" max="478" width="33" bestFit="1" customWidth="1"/>
    <col min="479" max="479" width="20.88671875" bestFit="1" customWidth="1"/>
    <col min="480" max="480" width="22.88671875" bestFit="1" customWidth="1"/>
    <col min="481" max="481" width="14.109375" bestFit="1" customWidth="1"/>
    <col min="482" max="482" width="33" bestFit="1" customWidth="1"/>
    <col min="483" max="483" width="20.88671875" bestFit="1" customWidth="1"/>
    <col min="484" max="484" width="22.88671875" bestFit="1" customWidth="1"/>
    <col min="485" max="485" width="14.109375" bestFit="1" customWidth="1"/>
    <col min="486" max="486" width="33" bestFit="1" customWidth="1"/>
    <col min="487" max="487" width="20.88671875" bestFit="1" customWidth="1"/>
    <col min="488" max="488" width="22.88671875" bestFit="1" customWidth="1"/>
    <col min="489" max="489" width="14.109375" bestFit="1" customWidth="1"/>
    <col min="490" max="490" width="33" bestFit="1" customWidth="1"/>
    <col min="491" max="491" width="20.88671875" bestFit="1" customWidth="1"/>
    <col min="492" max="492" width="22.88671875" bestFit="1" customWidth="1"/>
    <col min="493" max="493" width="14.109375" bestFit="1" customWidth="1"/>
    <col min="494" max="494" width="33" bestFit="1" customWidth="1"/>
    <col min="495" max="495" width="20.88671875" bestFit="1" customWidth="1"/>
    <col min="496" max="496" width="22.88671875" bestFit="1" customWidth="1"/>
    <col min="497" max="497" width="14.109375" bestFit="1" customWidth="1"/>
    <col min="498" max="498" width="33" bestFit="1" customWidth="1"/>
    <col min="499" max="499" width="20.88671875" bestFit="1" customWidth="1"/>
    <col min="500" max="500" width="22.88671875" bestFit="1" customWidth="1"/>
    <col min="501" max="501" width="14.109375" bestFit="1" customWidth="1"/>
    <col min="502" max="502" width="33" bestFit="1" customWidth="1"/>
    <col min="503" max="503" width="20.88671875" bestFit="1" customWidth="1"/>
    <col min="504" max="504" width="22.88671875" bestFit="1" customWidth="1"/>
    <col min="505" max="505" width="14.109375" bestFit="1" customWidth="1"/>
    <col min="506" max="506" width="33" bestFit="1" customWidth="1"/>
    <col min="507" max="507" width="20.88671875" bestFit="1" customWidth="1"/>
    <col min="508" max="508" width="22.88671875" bestFit="1" customWidth="1"/>
    <col min="509" max="509" width="14.109375" bestFit="1" customWidth="1"/>
    <col min="510" max="510" width="33" bestFit="1" customWidth="1"/>
    <col min="511" max="511" width="20.88671875" bestFit="1" customWidth="1"/>
    <col min="512" max="512" width="22.88671875" bestFit="1" customWidth="1"/>
    <col min="513" max="513" width="14.109375" bestFit="1" customWidth="1"/>
    <col min="514" max="514" width="33" bestFit="1" customWidth="1"/>
    <col min="515" max="515" width="20.88671875" bestFit="1" customWidth="1"/>
    <col min="516" max="516" width="22.88671875" bestFit="1" customWidth="1"/>
    <col min="517" max="517" width="14.109375" bestFit="1" customWidth="1"/>
    <col min="518" max="518" width="33" bestFit="1" customWidth="1"/>
    <col min="519" max="519" width="20.88671875" bestFit="1" customWidth="1"/>
    <col min="520" max="520" width="22.88671875" bestFit="1" customWidth="1"/>
    <col min="521" max="521" width="14.109375" bestFit="1" customWidth="1"/>
    <col min="522" max="522" width="33" bestFit="1" customWidth="1"/>
    <col min="523" max="523" width="20.88671875" bestFit="1" customWidth="1"/>
    <col min="524" max="524" width="22.88671875" bestFit="1" customWidth="1"/>
    <col min="525" max="525" width="14.109375" bestFit="1" customWidth="1"/>
    <col min="526" max="526" width="33" bestFit="1" customWidth="1"/>
    <col min="527" max="527" width="20.88671875" bestFit="1" customWidth="1"/>
    <col min="528" max="528" width="22.88671875" bestFit="1" customWidth="1"/>
    <col min="529" max="529" width="14.109375" bestFit="1" customWidth="1"/>
    <col min="530" max="530" width="33" bestFit="1" customWidth="1"/>
    <col min="531" max="531" width="20.88671875" bestFit="1" customWidth="1"/>
    <col min="532" max="532" width="22.88671875" bestFit="1" customWidth="1"/>
    <col min="533" max="533" width="14.109375" bestFit="1" customWidth="1"/>
    <col min="534" max="534" width="33" bestFit="1" customWidth="1"/>
    <col min="535" max="535" width="20.88671875" bestFit="1" customWidth="1"/>
    <col min="536" max="536" width="22.88671875" bestFit="1" customWidth="1"/>
    <col min="537" max="537" width="14.109375" bestFit="1" customWidth="1"/>
    <col min="538" max="538" width="33" bestFit="1" customWidth="1"/>
    <col min="539" max="539" width="20.88671875" bestFit="1" customWidth="1"/>
    <col min="540" max="540" width="22.88671875" bestFit="1" customWidth="1"/>
    <col min="541" max="541" width="14.109375" bestFit="1" customWidth="1"/>
    <col min="542" max="542" width="33" bestFit="1" customWidth="1"/>
    <col min="543" max="543" width="20.88671875" bestFit="1" customWidth="1"/>
    <col min="544" max="544" width="22.88671875" bestFit="1" customWidth="1"/>
    <col min="545" max="545" width="14.109375" bestFit="1" customWidth="1"/>
    <col min="546" max="546" width="33" bestFit="1" customWidth="1"/>
    <col min="547" max="547" width="20.88671875" bestFit="1" customWidth="1"/>
    <col min="548" max="548" width="22.88671875" bestFit="1" customWidth="1"/>
    <col min="549" max="549" width="14.109375" bestFit="1" customWidth="1"/>
    <col min="550" max="550" width="33" bestFit="1" customWidth="1"/>
    <col min="551" max="551" width="20.88671875" bestFit="1" customWidth="1"/>
    <col min="552" max="552" width="22.88671875" bestFit="1" customWidth="1"/>
    <col min="553" max="553" width="14.109375" bestFit="1" customWidth="1"/>
    <col min="554" max="554" width="33" bestFit="1" customWidth="1"/>
    <col min="555" max="555" width="20.88671875" bestFit="1" customWidth="1"/>
    <col min="556" max="556" width="22.88671875" bestFit="1" customWidth="1"/>
    <col min="557" max="557" width="14.109375" bestFit="1" customWidth="1"/>
    <col min="558" max="558" width="33" bestFit="1" customWidth="1"/>
    <col min="559" max="559" width="20.88671875" bestFit="1" customWidth="1"/>
    <col min="560" max="560" width="22.88671875" bestFit="1" customWidth="1"/>
    <col min="561" max="561" width="14.109375" bestFit="1" customWidth="1"/>
    <col min="562" max="562" width="33" bestFit="1" customWidth="1"/>
    <col min="563" max="563" width="20.88671875" bestFit="1" customWidth="1"/>
    <col min="564" max="564" width="22.88671875" bestFit="1" customWidth="1"/>
    <col min="565" max="565" width="14.109375" bestFit="1" customWidth="1"/>
    <col min="566" max="566" width="33" bestFit="1" customWidth="1"/>
    <col min="567" max="567" width="20.88671875" bestFit="1" customWidth="1"/>
    <col min="568" max="568" width="22.88671875" bestFit="1" customWidth="1"/>
    <col min="569" max="569" width="14.109375" bestFit="1" customWidth="1"/>
    <col min="570" max="570" width="33" bestFit="1" customWidth="1"/>
    <col min="571" max="571" width="20.88671875" bestFit="1" customWidth="1"/>
    <col min="572" max="572" width="22.88671875" bestFit="1" customWidth="1"/>
    <col min="573" max="573" width="14.109375" bestFit="1" customWidth="1"/>
    <col min="574" max="574" width="33" bestFit="1" customWidth="1"/>
    <col min="575" max="575" width="20.88671875" bestFit="1" customWidth="1"/>
    <col min="576" max="576" width="22.88671875" bestFit="1" customWidth="1"/>
    <col min="577" max="577" width="14.109375" bestFit="1" customWidth="1"/>
    <col min="578" max="578" width="33" bestFit="1" customWidth="1"/>
    <col min="579" max="579" width="20.88671875" bestFit="1" customWidth="1"/>
    <col min="580" max="580" width="22.88671875" bestFit="1" customWidth="1"/>
    <col min="581" max="581" width="14.109375" bestFit="1" customWidth="1"/>
    <col min="582" max="582" width="33" bestFit="1" customWidth="1"/>
    <col min="583" max="583" width="20.88671875" bestFit="1" customWidth="1"/>
    <col min="584" max="584" width="22.88671875" bestFit="1" customWidth="1"/>
    <col min="585" max="585" width="14.109375" bestFit="1" customWidth="1"/>
    <col min="586" max="586" width="33" bestFit="1" customWidth="1"/>
    <col min="587" max="587" width="20.88671875" bestFit="1" customWidth="1"/>
    <col min="588" max="588" width="22.88671875" bestFit="1" customWidth="1"/>
    <col min="589" max="589" width="14.109375" bestFit="1" customWidth="1"/>
    <col min="590" max="590" width="33" bestFit="1" customWidth="1"/>
    <col min="591" max="591" width="20.88671875" bestFit="1" customWidth="1"/>
    <col min="592" max="592" width="22.88671875" bestFit="1" customWidth="1"/>
    <col min="593" max="593" width="14.109375" bestFit="1" customWidth="1"/>
    <col min="594" max="594" width="33" bestFit="1" customWidth="1"/>
    <col min="595" max="595" width="20.88671875" bestFit="1" customWidth="1"/>
    <col min="596" max="596" width="22.88671875" bestFit="1" customWidth="1"/>
    <col min="597" max="597" width="14.109375" bestFit="1" customWidth="1"/>
    <col min="598" max="598" width="33" bestFit="1" customWidth="1"/>
    <col min="599" max="599" width="20.88671875" bestFit="1" customWidth="1"/>
    <col min="600" max="600" width="22.88671875" bestFit="1" customWidth="1"/>
    <col min="601" max="601" width="14.109375" bestFit="1" customWidth="1"/>
    <col min="602" max="602" width="33" bestFit="1" customWidth="1"/>
    <col min="603" max="603" width="20.88671875" bestFit="1" customWidth="1"/>
    <col min="604" max="604" width="22.88671875" bestFit="1" customWidth="1"/>
    <col min="605" max="605" width="14.109375" bestFit="1" customWidth="1"/>
    <col min="606" max="606" width="33" bestFit="1" customWidth="1"/>
    <col min="607" max="607" width="20.88671875" bestFit="1" customWidth="1"/>
    <col min="608" max="608" width="22.88671875" bestFit="1" customWidth="1"/>
    <col min="609" max="609" width="14.109375" bestFit="1" customWidth="1"/>
    <col min="610" max="610" width="33" bestFit="1" customWidth="1"/>
    <col min="611" max="611" width="20.88671875" bestFit="1" customWidth="1"/>
    <col min="612" max="612" width="22.88671875" bestFit="1" customWidth="1"/>
    <col min="613" max="613" width="14.109375" bestFit="1" customWidth="1"/>
    <col min="614" max="614" width="33" bestFit="1" customWidth="1"/>
    <col min="615" max="615" width="20.88671875" bestFit="1" customWidth="1"/>
    <col min="616" max="616" width="22.88671875" bestFit="1" customWidth="1"/>
    <col min="617" max="617" width="14.109375" bestFit="1" customWidth="1"/>
    <col min="618" max="618" width="33" bestFit="1" customWidth="1"/>
    <col min="619" max="619" width="20.88671875" bestFit="1" customWidth="1"/>
    <col min="620" max="620" width="22.88671875" bestFit="1" customWidth="1"/>
    <col min="621" max="621" width="14.109375" bestFit="1" customWidth="1"/>
    <col min="622" max="622" width="33" bestFit="1" customWidth="1"/>
    <col min="623" max="623" width="20.88671875" bestFit="1" customWidth="1"/>
    <col min="624" max="624" width="22.88671875" bestFit="1" customWidth="1"/>
    <col min="625" max="625" width="14.109375" bestFit="1" customWidth="1"/>
    <col min="626" max="626" width="33" bestFit="1" customWidth="1"/>
    <col min="627" max="627" width="20.88671875" bestFit="1" customWidth="1"/>
    <col min="628" max="628" width="22.88671875" bestFit="1" customWidth="1"/>
    <col min="629" max="629" width="14.109375" bestFit="1" customWidth="1"/>
    <col min="630" max="630" width="33" bestFit="1" customWidth="1"/>
    <col min="631" max="631" width="20.88671875" bestFit="1" customWidth="1"/>
    <col min="632" max="632" width="22.88671875" bestFit="1" customWidth="1"/>
    <col min="633" max="633" width="14.109375" bestFit="1" customWidth="1"/>
    <col min="634" max="634" width="33" bestFit="1" customWidth="1"/>
    <col min="635" max="635" width="20.88671875" bestFit="1" customWidth="1"/>
    <col min="636" max="636" width="22.88671875" bestFit="1" customWidth="1"/>
    <col min="637" max="637" width="14.109375" bestFit="1" customWidth="1"/>
    <col min="638" max="638" width="33" bestFit="1" customWidth="1"/>
    <col min="639" max="639" width="20.88671875" bestFit="1" customWidth="1"/>
    <col min="640" max="640" width="22.88671875" bestFit="1" customWidth="1"/>
    <col min="641" max="641" width="14.109375" bestFit="1" customWidth="1"/>
    <col min="642" max="642" width="33" bestFit="1" customWidth="1"/>
    <col min="643" max="643" width="20.88671875" bestFit="1" customWidth="1"/>
    <col min="644" max="644" width="22.88671875" bestFit="1" customWidth="1"/>
    <col min="645" max="645" width="14.109375" bestFit="1" customWidth="1"/>
    <col min="646" max="646" width="33" bestFit="1" customWidth="1"/>
    <col min="647" max="647" width="20.88671875" bestFit="1" customWidth="1"/>
    <col min="648" max="648" width="22.88671875" bestFit="1" customWidth="1"/>
    <col min="649" max="649" width="14.109375" bestFit="1" customWidth="1"/>
    <col min="650" max="650" width="33" bestFit="1" customWidth="1"/>
    <col min="651" max="651" width="20.88671875" bestFit="1" customWidth="1"/>
    <col min="652" max="652" width="22.88671875" bestFit="1" customWidth="1"/>
    <col min="653" max="653" width="14.109375" bestFit="1" customWidth="1"/>
    <col min="654" max="654" width="33" bestFit="1" customWidth="1"/>
    <col min="655" max="655" width="20.88671875" bestFit="1" customWidth="1"/>
    <col min="656" max="656" width="22.88671875" bestFit="1" customWidth="1"/>
    <col min="657" max="657" width="14.109375" bestFit="1" customWidth="1"/>
    <col min="658" max="658" width="33" bestFit="1" customWidth="1"/>
    <col min="659" max="659" width="20.88671875" bestFit="1" customWidth="1"/>
    <col min="660" max="660" width="22.88671875" bestFit="1" customWidth="1"/>
    <col min="661" max="661" width="14.109375" bestFit="1" customWidth="1"/>
    <col min="662" max="662" width="33" bestFit="1" customWidth="1"/>
    <col min="663" max="663" width="20.88671875" bestFit="1" customWidth="1"/>
    <col min="664" max="664" width="22.88671875" bestFit="1" customWidth="1"/>
    <col min="665" max="665" width="14.109375" bestFit="1" customWidth="1"/>
    <col min="666" max="666" width="33" bestFit="1" customWidth="1"/>
    <col min="667" max="667" width="20.88671875" bestFit="1" customWidth="1"/>
    <col min="668" max="668" width="22.88671875" bestFit="1" customWidth="1"/>
    <col min="669" max="669" width="14.109375" bestFit="1" customWidth="1"/>
    <col min="670" max="670" width="33" bestFit="1" customWidth="1"/>
    <col min="671" max="671" width="20.88671875" bestFit="1" customWidth="1"/>
    <col min="672" max="672" width="22.88671875" bestFit="1" customWidth="1"/>
    <col min="673" max="673" width="14.109375" bestFit="1" customWidth="1"/>
    <col min="674" max="674" width="33" bestFit="1" customWidth="1"/>
    <col min="675" max="675" width="20.88671875" bestFit="1" customWidth="1"/>
    <col min="676" max="676" width="22.88671875" bestFit="1" customWidth="1"/>
    <col min="677" max="677" width="14.109375" bestFit="1" customWidth="1"/>
    <col min="678" max="678" width="33" bestFit="1" customWidth="1"/>
    <col min="679" max="679" width="20.88671875" bestFit="1" customWidth="1"/>
    <col min="680" max="680" width="22.88671875" bestFit="1" customWidth="1"/>
    <col min="681" max="681" width="14.109375" bestFit="1" customWidth="1"/>
    <col min="682" max="682" width="33" bestFit="1" customWidth="1"/>
    <col min="683" max="683" width="20.88671875" bestFit="1" customWidth="1"/>
    <col min="684" max="684" width="22.88671875" bestFit="1" customWidth="1"/>
    <col min="685" max="685" width="14.109375" bestFit="1" customWidth="1"/>
    <col min="686" max="686" width="33" bestFit="1" customWidth="1"/>
    <col min="687" max="687" width="20.88671875" bestFit="1" customWidth="1"/>
    <col min="688" max="688" width="22.88671875" bestFit="1" customWidth="1"/>
    <col min="689" max="689" width="14.109375" bestFit="1" customWidth="1"/>
    <col min="690" max="690" width="33" bestFit="1" customWidth="1"/>
    <col min="691" max="691" width="20.88671875" bestFit="1" customWidth="1"/>
    <col min="692" max="692" width="22.88671875" bestFit="1" customWidth="1"/>
    <col min="693" max="693" width="14.109375" bestFit="1" customWidth="1"/>
    <col min="694" max="694" width="33" bestFit="1" customWidth="1"/>
    <col min="695" max="695" width="20.88671875" bestFit="1" customWidth="1"/>
    <col min="696" max="696" width="22.88671875" bestFit="1" customWidth="1"/>
    <col min="697" max="697" width="14.109375" bestFit="1" customWidth="1"/>
    <col min="698" max="698" width="33" bestFit="1" customWidth="1"/>
    <col min="699" max="699" width="20.88671875" bestFit="1" customWidth="1"/>
    <col min="700" max="700" width="22.88671875" bestFit="1" customWidth="1"/>
    <col min="701" max="701" width="14.109375" bestFit="1" customWidth="1"/>
    <col min="702" max="702" width="33" bestFit="1" customWidth="1"/>
    <col min="703" max="703" width="20.88671875" bestFit="1" customWidth="1"/>
    <col min="704" max="704" width="22.88671875" bestFit="1" customWidth="1"/>
    <col min="705" max="705" width="14.109375" bestFit="1" customWidth="1"/>
    <col min="706" max="706" width="33" bestFit="1" customWidth="1"/>
    <col min="707" max="707" width="20.88671875" bestFit="1" customWidth="1"/>
    <col min="708" max="708" width="22.88671875" bestFit="1" customWidth="1"/>
    <col min="709" max="709" width="14.109375" bestFit="1" customWidth="1"/>
    <col min="710" max="710" width="33" bestFit="1" customWidth="1"/>
    <col min="711" max="711" width="20.88671875" bestFit="1" customWidth="1"/>
    <col min="712" max="712" width="22.88671875" bestFit="1" customWidth="1"/>
    <col min="713" max="713" width="14.109375" bestFit="1" customWidth="1"/>
    <col min="714" max="714" width="33" bestFit="1" customWidth="1"/>
    <col min="715" max="715" width="20.88671875" bestFit="1" customWidth="1"/>
    <col min="716" max="716" width="22.88671875" bestFit="1" customWidth="1"/>
    <col min="717" max="717" width="14.109375" bestFit="1" customWidth="1"/>
    <col min="718" max="718" width="33" bestFit="1" customWidth="1"/>
    <col min="719" max="719" width="20.88671875" bestFit="1" customWidth="1"/>
    <col min="720" max="720" width="22.88671875" bestFit="1" customWidth="1"/>
    <col min="721" max="721" width="14.109375" bestFit="1" customWidth="1"/>
    <col min="722" max="722" width="33" bestFit="1" customWidth="1"/>
    <col min="723" max="723" width="20.88671875" bestFit="1" customWidth="1"/>
    <col min="724" max="724" width="22.88671875" bestFit="1" customWidth="1"/>
    <col min="725" max="725" width="14.109375" bestFit="1" customWidth="1"/>
    <col min="726" max="726" width="33" bestFit="1" customWidth="1"/>
    <col min="727" max="727" width="20.88671875" bestFit="1" customWidth="1"/>
    <col min="728" max="728" width="22.88671875" bestFit="1" customWidth="1"/>
    <col min="729" max="729" width="14.109375" bestFit="1" customWidth="1"/>
    <col min="730" max="730" width="33" bestFit="1" customWidth="1"/>
    <col min="731" max="731" width="20.88671875" bestFit="1" customWidth="1"/>
    <col min="732" max="732" width="22.88671875" bestFit="1" customWidth="1"/>
    <col min="733" max="733" width="14.109375" bestFit="1" customWidth="1"/>
    <col min="734" max="734" width="33" bestFit="1" customWidth="1"/>
    <col min="735" max="735" width="20.88671875" bestFit="1" customWidth="1"/>
    <col min="736" max="736" width="22.88671875" bestFit="1" customWidth="1"/>
    <col min="737" max="737" width="14.109375" bestFit="1" customWidth="1"/>
    <col min="738" max="738" width="33" bestFit="1" customWidth="1"/>
    <col min="739" max="739" width="20.88671875" bestFit="1" customWidth="1"/>
    <col min="740" max="740" width="22.88671875" bestFit="1" customWidth="1"/>
    <col min="741" max="741" width="14.109375" bestFit="1" customWidth="1"/>
    <col min="742" max="742" width="33" bestFit="1" customWidth="1"/>
    <col min="743" max="743" width="20.88671875" bestFit="1" customWidth="1"/>
    <col min="744" max="744" width="22.88671875" bestFit="1" customWidth="1"/>
    <col min="745" max="745" width="14.109375" bestFit="1" customWidth="1"/>
    <col min="746" max="746" width="33" bestFit="1" customWidth="1"/>
    <col min="747" max="747" width="20.88671875" bestFit="1" customWidth="1"/>
    <col min="748" max="748" width="22.88671875" bestFit="1" customWidth="1"/>
    <col min="749" max="749" width="14.109375" bestFit="1" customWidth="1"/>
    <col min="750" max="750" width="33" bestFit="1" customWidth="1"/>
    <col min="751" max="751" width="20.88671875" bestFit="1" customWidth="1"/>
    <col min="752" max="752" width="22.88671875" bestFit="1" customWidth="1"/>
    <col min="753" max="753" width="14.109375" bestFit="1" customWidth="1"/>
    <col min="754" max="754" width="33" bestFit="1" customWidth="1"/>
    <col min="755" max="755" width="20.88671875" bestFit="1" customWidth="1"/>
    <col min="756" max="756" width="22.88671875" bestFit="1" customWidth="1"/>
    <col min="757" max="757" width="14.109375" bestFit="1" customWidth="1"/>
    <col min="758" max="758" width="33" bestFit="1" customWidth="1"/>
    <col min="759" max="759" width="20.88671875" bestFit="1" customWidth="1"/>
    <col min="760" max="760" width="22.88671875" bestFit="1" customWidth="1"/>
    <col min="761" max="761" width="14.109375" bestFit="1" customWidth="1"/>
    <col min="762" max="762" width="33" bestFit="1" customWidth="1"/>
    <col min="763" max="763" width="20.88671875" bestFit="1" customWidth="1"/>
    <col min="764" max="764" width="22.88671875" bestFit="1" customWidth="1"/>
    <col min="765" max="765" width="14.109375" bestFit="1" customWidth="1"/>
    <col min="766" max="766" width="33" bestFit="1" customWidth="1"/>
    <col min="767" max="767" width="20.88671875" bestFit="1" customWidth="1"/>
    <col min="768" max="768" width="22.88671875" bestFit="1" customWidth="1"/>
    <col min="769" max="769" width="14.109375" bestFit="1" customWidth="1"/>
    <col min="770" max="770" width="33" bestFit="1" customWidth="1"/>
    <col min="771" max="771" width="20.88671875" bestFit="1" customWidth="1"/>
    <col min="772" max="772" width="22.88671875" bestFit="1" customWidth="1"/>
    <col min="773" max="773" width="14.109375" bestFit="1" customWidth="1"/>
    <col min="774" max="774" width="33" bestFit="1" customWidth="1"/>
    <col min="775" max="775" width="20.88671875" bestFit="1" customWidth="1"/>
    <col min="776" max="776" width="22.88671875" bestFit="1" customWidth="1"/>
    <col min="777" max="777" width="14.109375" bestFit="1" customWidth="1"/>
    <col min="778" max="778" width="33" bestFit="1" customWidth="1"/>
    <col min="779" max="779" width="20.88671875" bestFit="1" customWidth="1"/>
    <col min="780" max="780" width="22.88671875" bestFit="1" customWidth="1"/>
    <col min="781" max="781" width="14.109375" bestFit="1" customWidth="1"/>
    <col min="782" max="782" width="33" bestFit="1" customWidth="1"/>
    <col min="783" max="783" width="20.88671875" bestFit="1" customWidth="1"/>
    <col min="784" max="784" width="22.88671875" bestFit="1" customWidth="1"/>
    <col min="785" max="785" width="14.109375" bestFit="1" customWidth="1"/>
    <col min="786" max="786" width="33" bestFit="1" customWidth="1"/>
    <col min="787" max="787" width="20.88671875" bestFit="1" customWidth="1"/>
    <col min="788" max="788" width="22.88671875" bestFit="1" customWidth="1"/>
    <col min="789" max="789" width="14.109375" bestFit="1" customWidth="1"/>
    <col min="790" max="790" width="33" bestFit="1" customWidth="1"/>
    <col min="791" max="791" width="20.88671875" bestFit="1" customWidth="1"/>
    <col min="792" max="792" width="22.88671875" bestFit="1" customWidth="1"/>
    <col min="793" max="793" width="14.109375" bestFit="1" customWidth="1"/>
    <col min="794" max="794" width="33" bestFit="1" customWidth="1"/>
    <col min="795" max="795" width="20.88671875" bestFit="1" customWidth="1"/>
    <col min="796" max="796" width="22.88671875" bestFit="1" customWidth="1"/>
    <col min="797" max="797" width="14.109375" bestFit="1" customWidth="1"/>
    <col min="798" max="798" width="33" bestFit="1" customWidth="1"/>
    <col min="799" max="799" width="20.88671875" bestFit="1" customWidth="1"/>
    <col min="800" max="800" width="22.88671875" bestFit="1" customWidth="1"/>
    <col min="801" max="801" width="14.109375" bestFit="1" customWidth="1"/>
    <col min="802" max="802" width="33" bestFit="1" customWidth="1"/>
    <col min="803" max="803" width="20.88671875" bestFit="1" customWidth="1"/>
    <col min="804" max="804" width="22.88671875" bestFit="1" customWidth="1"/>
    <col min="805" max="805" width="14.109375" bestFit="1" customWidth="1"/>
    <col min="806" max="806" width="33" bestFit="1" customWidth="1"/>
    <col min="807" max="807" width="20.88671875" bestFit="1" customWidth="1"/>
    <col min="808" max="808" width="22.88671875" bestFit="1" customWidth="1"/>
    <col min="809" max="809" width="14.109375" bestFit="1" customWidth="1"/>
    <col min="810" max="810" width="33" bestFit="1" customWidth="1"/>
    <col min="811" max="811" width="20.88671875" bestFit="1" customWidth="1"/>
    <col min="812" max="812" width="22.88671875" bestFit="1" customWidth="1"/>
    <col min="813" max="813" width="14.109375" bestFit="1" customWidth="1"/>
    <col min="814" max="814" width="33" bestFit="1" customWidth="1"/>
    <col min="815" max="815" width="20.88671875" bestFit="1" customWidth="1"/>
    <col min="816" max="816" width="22.88671875" bestFit="1" customWidth="1"/>
    <col min="817" max="817" width="14.109375" bestFit="1" customWidth="1"/>
    <col min="818" max="818" width="33" bestFit="1" customWidth="1"/>
    <col min="819" max="819" width="20.88671875" bestFit="1" customWidth="1"/>
    <col min="820" max="820" width="22.88671875" bestFit="1" customWidth="1"/>
    <col min="821" max="821" width="14.109375" bestFit="1" customWidth="1"/>
    <col min="822" max="822" width="33" bestFit="1" customWidth="1"/>
    <col min="823" max="823" width="20.88671875" bestFit="1" customWidth="1"/>
    <col min="824" max="824" width="22.88671875" bestFit="1" customWidth="1"/>
    <col min="825" max="825" width="14.109375" bestFit="1" customWidth="1"/>
    <col min="826" max="826" width="33" bestFit="1" customWidth="1"/>
    <col min="827" max="827" width="20.88671875" bestFit="1" customWidth="1"/>
    <col min="828" max="828" width="22.88671875" bestFit="1" customWidth="1"/>
    <col min="829" max="829" width="14.109375" bestFit="1" customWidth="1"/>
    <col min="830" max="830" width="33" bestFit="1" customWidth="1"/>
    <col min="831" max="831" width="20.88671875" bestFit="1" customWidth="1"/>
    <col min="832" max="832" width="22.88671875" bestFit="1" customWidth="1"/>
    <col min="833" max="833" width="14.109375" bestFit="1" customWidth="1"/>
    <col min="834" max="834" width="33" bestFit="1" customWidth="1"/>
    <col min="835" max="835" width="20.88671875" bestFit="1" customWidth="1"/>
    <col min="836" max="836" width="22.88671875" bestFit="1" customWidth="1"/>
    <col min="837" max="837" width="14.109375" bestFit="1" customWidth="1"/>
    <col min="838" max="838" width="33" bestFit="1" customWidth="1"/>
    <col min="839" max="839" width="20.88671875" bestFit="1" customWidth="1"/>
    <col min="840" max="840" width="22.88671875" bestFit="1" customWidth="1"/>
    <col min="841" max="841" width="14.109375" bestFit="1" customWidth="1"/>
    <col min="842" max="842" width="33" bestFit="1" customWidth="1"/>
    <col min="843" max="843" width="20.88671875" bestFit="1" customWidth="1"/>
    <col min="844" max="844" width="22.88671875" bestFit="1" customWidth="1"/>
    <col min="845" max="845" width="14.109375" bestFit="1" customWidth="1"/>
    <col min="846" max="846" width="33" bestFit="1" customWidth="1"/>
    <col min="847" max="847" width="20.88671875" bestFit="1" customWidth="1"/>
    <col min="848" max="848" width="22.88671875" bestFit="1" customWidth="1"/>
    <col min="849" max="849" width="14.109375" bestFit="1" customWidth="1"/>
    <col min="850" max="850" width="33" bestFit="1" customWidth="1"/>
    <col min="851" max="851" width="20.88671875" bestFit="1" customWidth="1"/>
    <col min="852" max="852" width="22.88671875" bestFit="1" customWidth="1"/>
    <col min="853" max="853" width="14.109375" bestFit="1" customWidth="1"/>
    <col min="854" max="854" width="33" bestFit="1" customWidth="1"/>
    <col min="855" max="855" width="20.88671875" bestFit="1" customWidth="1"/>
    <col min="856" max="856" width="22.88671875" bestFit="1" customWidth="1"/>
    <col min="857" max="857" width="14.109375" bestFit="1" customWidth="1"/>
    <col min="858" max="858" width="33" bestFit="1" customWidth="1"/>
    <col min="859" max="859" width="20.88671875" bestFit="1" customWidth="1"/>
    <col min="860" max="860" width="22.88671875" bestFit="1" customWidth="1"/>
    <col min="861" max="861" width="14.109375" bestFit="1" customWidth="1"/>
    <col min="862" max="862" width="33" bestFit="1" customWidth="1"/>
    <col min="863" max="863" width="20.88671875" bestFit="1" customWidth="1"/>
    <col min="864" max="864" width="22.88671875" bestFit="1" customWidth="1"/>
    <col min="865" max="865" width="14.109375" bestFit="1" customWidth="1"/>
    <col min="866" max="866" width="33" bestFit="1" customWidth="1"/>
    <col min="867" max="867" width="20.88671875" bestFit="1" customWidth="1"/>
    <col min="868" max="868" width="22.88671875" bestFit="1" customWidth="1"/>
    <col min="869" max="869" width="14.109375" bestFit="1" customWidth="1"/>
    <col min="870" max="870" width="33" bestFit="1" customWidth="1"/>
    <col min="871" max="871" width="20.88671875" bestFit="1" customWidth="1"/>
    <col min="872" max="872" width="22.88671875" bestFit="1" customWidth="1"/>
    <col min="873" max="873" width="14.109375" bestFit="1" customWidth="1"/>
    <col min="874" max="874" width="33" bestFit="1" customWidth="1"/>
    <col min="875" max="875" width="20.88671875" bestFit="1" customWidth="1"/>
    <col min="876" max="876" width="22.88671875" bestFit="1" customWidth="1"/>
    <col min="877" max="877" width="14.109375" bestFit="1" customWidth="1"/>
    <col min="878" max="878" width="33" bestFit="1" customWidth="1"/>
    <col min="879" max="879" width="20.88671875" bestFit="1" customWidth="1"/>
    <col min="880" max="880" width="22.88671875" bestFit="1" customWidth="1"/>
    <col min="881" max="881" width="14.109375" bestFit="1" customWidth="1"/>
    <col min="882" max="882" width="33" bestFit="1" customWidth="1"/>
    <col min="883" max="883" width="20.88671875" bestFit="1" customWidth="1"/>
    <col min="884" max="884" width="22.88671875" bestFit="1" customWidth="1"/>
    <col min="885" max="885" width="14.109375" bestFit="1" customWidth="1"/>
    <col min="886" max="886" width="33" bestFit="1" customWidth="1"/>
    <col min="887" max="887" width="20.88671875" bestFit="1" customWidth="1"/>
    <col min="888" max="888" width="22.88671875" bestFit="1" customWidth="1"/>
    <col min="889" max="889" width="14.109375" bestFit="1" customWidth="1"/>
    <col min="890" max="890" width="33" bestFit="1" customWidth="1"/>
    <col min="891" max="891" width="20.88671875" bestFit="1" customWidth="1"/>
    <col min="892" max="892" width="22.88671875" bestFit="1" customWidth="1"/>
    <col min="893" max="893" width="14.109375" bestFit="1" customWidth="1"/>
    <col min="894" max="894" width="33" bestFit="1" customWidth="1"/>
    <col min="895" max="895" width="20.88671875" bestFit="1" customWidth="1"/>
    <col min="896" max="896" width="22.88671875" bestFit="1" customWidth="1"/>
    <col min="897" max="897" width="14.109375" bestFit="1" customWidth="1"/>
    <col min="898" max="898" width="33" bestFit="1" customWidth="1"/>
    <col min="899" max="899" width="20.88671875" bestFit="1" customWidth="1"/>
    <col min="900" max="900" width="22.88671875" bestFit="1" customWidth="1"/>
    <col min="901" max="901" width="14.109375" bestFit="1" customWidth="1"/>
    <col min="902" max="902" width="33" bestFit="1" customWidth="1"/>
    <col min="903" max="903" width="20.88671875" bestFit="1" customWidth="1"/>
    <col min="904" max="904" width="22.88671875" bestFit="1" customWidth="1"/>
    <col min="905" max="905" width="14.109375" bestFit="1" customWidth="1"/>
    <col min="906" max="906" width="33" bestFit="1" customWidth="1"/>
    <col min="907" max="907" width="20.88671875" bestFit="1" customWidth="1"/>
    <col min="908" max="908" width="22.88671875" bestFit="1" customWidth="1"/>
    <col min="909" max="909" width="14.109375" bestFit="1" customWidth="1"/>
    <col min="910" max="910" width="33" bestFit="1" customWidth="1"/>
    <col min="911" max="911" width="20.88671875" bestFit="1" customWidth="1"/>
    <col min="912" max="912" width="22.88671875" bestFit="1" customWidth="1"/>
    <col min="913" max="913" width="14.109375" bestFit="1" customWidth="1"/>
    <col min="914" max="914" width="33" bestFit="1" customWidth="1"/>
    <col min="915" max="915" width="20.88671875" bestFit="1" customWidth="1"/>
    <col min="916" max="916" width="22.88671875" bestFit="1" customWidth="1"/>
    <col min="917" max="917" width="14.109375" bestFit="1" customWidth="1"/>
    <col min="918" max="918" width="33" bestFit="1" customWidth="1"/>
    <col min="919" max="919" width="20.88671875" bestFit="1" customWidth="1"/>
    <col min="920" max="920" width="22.88671875" bestFit="1" customWidth="1"/>
    <col min="921" max="921" width="14.109375" bestFit="1" customWidth="1"/>
    <col min="922" max="922" width="33" bestFit="1" customWidth="1"/>
    <col min="923" max="923" width="20.88671875" bestFit="1" customWidth="1"/>
    <col min="924" max="924" width="22.88671875" bestFit="1" customWidth="1"/>
    <col min="925" max="925" width="14.109375" bestFit="1" customWidth="1"/>
    <col min="926" max="926" width="33" bestFit="1" customWidth="1"/>
    <col min="927" max="927" width="20.88671875" bestFit="1" customWidth="1"/>
    <col min="928" max="928" width="22.88671875" bestFit="1" customWidth="1"/>
    <col min="929" max="929" width="14.109375" bestFit="1" customWidth="1"/>
    <col min="930" max="930" width="33" bestFit="1" customWidth="1"/>
    <col min="931" max="931" width="20.88671875" bestFit="1" customWidth="1"/>
    <col min="932" max="932" width="22.88671875" bestFit="1" customWidth="1"/>
    <col min="933" max="933" width="14.109375" bestFit="1" customWidth="1"/>
    <col min="934" max="934" width="33" bestFit="1" customWidth="1"/>
    <col min="935" max="935" width="20.88671875" bestFit="1" customWidth="1"/>
    <col min="936" max="936" width="22.88671875" bestFit="1" customWidth="1"/>
    <col min="937" max="937" width="14.109375" bestFit="1" customWidth="1"/>
    <col min="938" max="938" width="33" bestFit="1" customWidth="1"/>
    <col min="939" max="939" width="20.88671875" bestFit="1" customWidth="1"/>
    <col min="940" max="940" width="22.88671875" bestFit="1" customWidth="1"/>
    <col min="941" max="941" width="14.109375" bestFit="1" customWidth="1"/>
    <col min="942" max="942" width="33" bestFit="1" customWidth="1"/>
    <col min="943" max="943" width="20.88671875" bestFit="1" customWidth="1"/>
    <col min="944" max="944" width="22.88671875" bestFit="1" customWidth="1"/>
    <col min="945" max="945" width="14.109375" bestFit="1" customWidth="1"/>
    <col min="946" max="946" width="33" bestFit="1" customWidth="1"/>
    <col min="947" max="947" width="20.88671875" bestFit="1" customWidth="1"/>
    <col min="948" max="948" width="22.88671875" bestFit="1" customWidth="1"/>
    <col min="949" max="949" width="14.109375" bestFit="1" customWidth="1"/>
    <col min="950" max="950" width="33" bestFit="1" customWidth="1"/>
    <col min="951" max="951" width="20.88671875" bestFit="1" customWidth="1"/>
    <col min="952" max="952" width="22.88671875" bestFit="1" customWidth="1"/>
    <col min="953" max="953" width="14.109375" bestFit="1" customWidth="1"/>
    <col min="954" max="954" width="33" bestFit="1" customWidth="1"/>
    <col min="955" max="955" width="20.88671875" bestFit="1" customWidth="1"/>
    <col min="956" max="956" width="22.88671875" bestFit="1" customWidth="1"/>
    <col min="957" max="957" width="14.109375" bestFit="1" customWidth="1"/>
    <col min="958" max="958" width="33" bestFit="1" customWidth="1"/>
    <col min="959" max="959" width="20.88671875" bestFit="1" customWidth="1"/>
    <col min="960" max="960" width="22.88671875" bestFit="1" customWidth="1"/>
    <col min="961" max="961" width="14.109375" bestFit="1" customWidth="1"/>
    <col min="962" max="962" width="33" bestFit="1" customWidth="1"/>
    <col min="963" max="963" width="20.88671875" bestFit="1" customWidth="1"/>
    <col min="964" max="964" width="22.88671875" bestFit="1" customWidth="1"/>
    <col min="965" max="965" width="14.109375" bestFit="1" customWidth="1"/>
    <col min="966" max="966" width="33" bestFit="1" customWidth="1"/>
    <col min="967" max="967" width="20.88671875" bestFit="1" customWidth="1"/>
    <col min="968" max="968" width="22.88671875" bestFit="1" customWidth="1"/>
    <col min="969" max="969" width="14.109375" bestFit="1" customWidth="1"/>
    <col min="970" max="970" width="33" bestFit="1" customWidth="1"/>
    <col min="971" max="971" width="20.88671875" bestFit="1" customWidth="1"/>
    <col min="972" max="972" width="22.88671875" bestFit="1" customWidth="1"/>
    <col min="973" max="973" width="14.109375" bestFit="1" customWidth="1"/>
    <col min="974" max="974" width="33" bestFit="1" customWidth="1"/>
    <col min="975" max="975" width="20.88671875" bestFit="1" customWidth="1"/>
    <col min="976" max="976" width="22.88671875" bestFit="1" customWidth="1"/>
    <col min="977" max="977" width="14.109375" bestFit="1" customWidth="1"/>
    <col min="978" max="978" width="33" bestFit="1" customWidth="1"/>
    <col min="979" max="979" width="20.88671875" bestFit="1" customWidth="1"/>
    <col min="980" max="980" width="22.88671875" bestFit="1" customWidth="1"/>
    <col min="981" max="981" width="14.109375" bestFit="1" customWidth="1"/>
    <col min="982" max="982" width="33" bestFit="1" customWidth="1"/>
    <col min="983" max="983" width="20.88671875" bestFit="1" customWidth="1"/>
    <col min="984" max="984" width="22.88671875" bestFit="1" customWidth="1"/>
    <col min="985" max="985" width="14.109375" bestFit="1" customWidth="1"/>
    <col min="986" max="986" width="33" bestFit="1" customWidth="1"/>
    <col min="987" max="987" width="20.88671875" bestFit="1" customWidth="1"/>
    <col min="988" max="988" width="22.88671875" bestFit="1" customWidth="1"/>
    <col min="989" max="989" width="14.109375" bestFit="1" customWidth="1"/>
    <col min="990" max="990" width="33" bestFit="1" customWidth="1"/>
    <col min="991" max="991" width="20.88671875" bestFit="1" customWidth="1"/>
    <col min="992" max="992" width="22.88671875" bestFit="1" customWidth="1"/>
    <col min="993" max="993" width="14.109375" bestFit="1" customWidth="1"/>
    <col min="994" max="994" width="33" bestFit="1" customWidth="1"/>
    <col min="995" max="995" width="20.88671875" bestFit="1" customWidth="1"/>
    <col min="996" max="996" width="22.88671875" bestFit="1" customWidth="1"/>
    <col min="997" max="997" width="14.109375" bestFit="1" customWidth="1"/>
    <col min="998" max="998" width="33" bestFit="1" customWidth="1"/>
    <col min="999" max="999" width="20.88671875" bestFit="1" customWidth="1"/>
    <col min="1000" max="1000" width="22.88671875" bestFit="1" customWidth="1"/>
    <col min="1001" max="1001" width="14.109375" bestFit="1" customWidth="1"/>
    <col min="1002" max="1002" width="33" bestFit="1" customWidth="1"/>
    <col min="1003" max="1003" width="20.88671875" bestFit="1" customWidth="1"/>
    <col min="1004" max="1004" width="22.88671875" bestFit="1" customWidth="1"/>
    <col min="1005" max="1005" width="14.109375" bestFit="1" customWidth="1"/>
    <col min="1006" max="1006" width="33" bestFit="1" customWidth="1"/>
    <col min="1007" max="1007" width="20.88671875" bestFit="1" customWidth="1"/>
    <col min="1008" max="1008" width="22.88671875" bestFit="1" customWidth="1"/>
    <col min="1009" max="1009" width="14.109375" bestFit="1" customWidth="1"/>
    <col min="1010" max="1010" width="33" bestFit="1" customWidth="1"/>
    <col min="1011" max="1011" width="20.88671875" bestFit="1" customWidth="1"/>
    <col min="1012" max="1012" width="22.88671875" bestFit="1" customWidth="1"/>
    <col min="1013" max="1013" width="14.109375" bestFit="1" customWidth="1"/>
    <col min="1014" max="1014" width="33" bestFit="1" customWidth="1"/>
    <col min="1015" max="1015" width="20.88671875" bestFit="1" customWidth="1"/>
    <col min="1016" max="1016" width="22.88671875" bestFit="1" customWidth="1"/>
    <col min="1017" max="1017" width="14.109375" bestFit="1" customWidth="1"/>
    <col min="1018" max="1018" width="33" bestFit="1" customWidth="1"/>
    <col min="1019" max="1019" width="20.88671875" bestFit="1" customWidth="1"/>
    <col min="1020" max="1020" width="22.88671875" bestFit="1" customWidth="1"/>
    <col min="1021" max="1021" width="14.109375" bestFit="1" customWidth="1"/>
    <col min="1022" max="1022" width="33" bestFit="1" customWidth="1"/>
    <col min="1023" max="1023" width="20.88671875" bestFit="1" customWidth="1"/>
    <col min="1024" max="1024" width="22.88671875" bestFit="1" customWidth="1"/>
    <col min="1025" max="1025" width="14.109375" bestFit="1" customWidth="1"/>
    <col min="1026" max="1026" width="33" bestFit="1" customWidth="1"/>
    <col min="1027" max="1027" width="20.88671875" bestFit="1" customWidth="1"/>
    <col min="1028" max="1028" width="22.88671875" bestFit="1" customWidth="1"/>
    <col min="1029" max="1029" width="14.109375" bestFit="1" customWidth="1"/>
    <col min="1030" max="1030" width="33" bestFit="1" customWidth="1"/>
    <col min="1031" max="1031" width="20.88671875" bestFit="1" customWidth="1"/>
    <col min="1032" max="1032" width="22.88671875" bestFit="1" customWidth="1"/>
    <col min="1033" max="1033" width="14.109375" bestFit="1" customWidth="1"/>
    <col min="1034" max="1034" width="33" bestFit="1" customWidth="1"/>
    <col min="1035" max="1035" width="20.88671875" bestFit="1" customWidth="1"/>
    <col min="1036" max="1036" width="22.88671875" bestFit="1" customWidth="1"/>
    <col min="1037" max="1037" width="14.109375" bestFit="1" customWidth="1"/>
    <col min="1038" max="1038" width="33" bestFit="1" customWidth="1"/>
    <col min="1039" max="1039" width="20.88671875" bestFit="1" customWidth="1"/>
    <col min="1040" max="1040" width="22.88671875" bestFit="1" customWidth="1"/>
    <col min="1041" max="1041" width="14.109375" bestFit="1" customWidth="1"/>
    <col min="1042" max="1042" width="33" bestFit="1" customWidth="1"/>
    <col min="1043" max="1043" width="20.88671875" bestFit="1" customWidth="1"/>
    <col min="1044" max="1044" width="22.88671875" bestFit="1" customWidth="1"/>
    <col min="1045" max="1045" width="14.109375" bestFit="1" customWidth="1"/>
    <col min="1046" max="1046" width="33" bestFit="1" customWidth="1"/>
    <col min="1047" max="1047" width="20.88671875" bestFit="1" customWidth="1"/>
    <col min="1048" max="1048" width="22.88671875" bestFit="1" customWidth="1"/>
    <col min="1049" max="1049" width="14.109375" bestFit="1" customWidth="1"/>
    <col min="1050" max="1050" width="33" bestFit="1" customWidth="1"/>
    <col min="1051" max="1051" width="20.88671875" bestFit="1" customWidth="1"/>
    <col min="1052" max="1052" width="22.88671875" bestFit="1" customWidth="1"/>
    <col min="1053" max="1053" width="14.109375" bestFit="1" customWidth="1"/>
    <col min="1054" max="1054" width="33" bestFit="1" customWidth="1"/>
    <col min="1055" max="1055" width="20.88671875" bestFit="1" customWidth="1"/>
    <col min="1056" max="1056" width="22.88671875" bestFit="1" customWidth="1"/>
    <col min="1057" max="1057" width="14.109375" bestFit="1" customWidth="1"/>
    <col min="1058" max="1058" width="33" bestFit="1" customWidth="1"/>
    <col min="1059" max="1059" width="20.88671875" bestFit="1" customWidth="1"/>
    <col min="1060" max="1060" width="22.88671875" bestFit="1" customWidth="1"/>
    <col min="1061" max="1061" width="14.109375" bestFit="1" customWidth="1"/>
    <col min="1062" max="1062" width="33" bestFit="1" customWidth="1"/>
    <col min="1063" max="1063" width="20.88671875" bestFit="1" customWidth="1"/>
    <col min="1064" max="1064" width="22.88671875" bestFit="1" customWidth="1"/>
    <col min="1065" max="1065" width="14.109375" bestFit="1" customWidth="1"/>
    <col min="1066" max="1066" width="33" bestFit="1" customWidth="1"/>
    <col min="1067" max="1067" width="20.88671875" bestFit="1" customWidth="1"/>
    <col min="1068" max="1068" width="22.88671875" bestFit="1" customWidth="1"/>
    <col min="1069" max="1069" width="14.109375" bestFit="1" customWidth="1"/>
    <col min="1070" max="1070" width="33" bestFit="1" customWidth="1"/>
    <col min="1071" max="1071" width="20.88671875" bestFit="1" customWidth="1"/>
    <col min="1072" max="1072" width="22.88671875" bestFit="1" customWidth="1"/>
    <col min="1073" max="1073" width="14.109375" bestFit="1" customWidth="1"/>
    <col min="1074" max="1074" width="33" bestFit="1" customWidth="1"/>
    <col min="1075" max="1075" width="20.88671875" bestFit="1" customWidth="1"/>
    <col min="1076" max="1076" width="22.88671875" bestFit="1" customWidth="1"/>
    <col min="1077" max="1077" width="14.109375" bestFit="1" customWidth="1"/>
    <col min="1078" max="1078" width="33" bestFit="1" customWidth="1"/>
    <col min="1079" max="1079" width="20.88671875" bestFit="1" customWidth="1"/>
    <col min="1080" max="1080" width="22.88671875" bestFit="1" customWidth="1"/>
    <col min="1081" max="1081" width="14.109375" bestFit="1" customWidth="1"/>
    <col min="1082" max="1082" width="33" bestFit="1" customWidth="1"/>
    <col min="1083" max="1083" width="20.88671875" bestFit="1" customWidth="1"/>
    <col min="1084" max="1084" width="22.88671875" bestFit="1" customWidth="1"/>
    <col min="1085" max="1085" width="14.109375" bestFit="1" customWidth="1"/>
    <col min="1086" max="1086" width="33" bestFit="1" customWidth="1"/>
    <col min="1087" max="1087" width="20.88671875" bestFit="1" customWidth="1"/>
    <col min="1088" max="1088" width="22.88671875" bestFit="1" customWidth="1"/>
    <col min="1089" max="1089" width="14.109375" bestFit="1" customWidth="1"/>
    <col min="1090" max="1090" width="33" bestFit="1" customWidth="1"/>
    <col min="1091" max="1091" width="20.88671875" bestFit="1" customWidth="1"/>
    <col min="1092" max="1092" width="22.88671875" bestFit="1" customWidth="1"/>
    <col min="1093" max="1093" width="14.109375" bestFit="1" customWidth="1"/>
    <col min="1094" max="1094" width="33" bestFit="1" customWidth="1"/>
    <col min="1095" max="1095" width="20.88671875" bestFit="1" customWidth="1"/>
    <col min="1096" max="1096" width="22.88671875" bestFit="1" customWidth="1"/>
    <col min="1097" max="1097" width="14.109375" bestFit="1" customWidth="1"/>
    <col min="1098" max="1098" width="33" bestFit="1" customWidth="1"/>
    <col min="1099" max="1099" width="20.88671875" bestFit="1" customWidth="1"/>
    <col min="1100" max="1100" width="22.88671875" bestFit="1" customWidth="1"/>
    <col min="1101" max="1101" width="14.109375" bestFit="1" customWidth="1"/>
    <col min="1102" max="1102" width="33" bestFit="1" customWidth="1"/>
    <col min="1103" max="1103" width="20.88671875" bestFit="1" customWidth="1"/>
    <col min="1104" max="1104" width="22.88671875" bestFit="1" customWidth="1"/>
    <col min="1105" max="1105" width="14.109375" bestFit="1" customWidth="1"/>
    <col min="1106" max="1106" width="33" bestFit="1" customWidth="1"/>
    <col min="1107" max="1107" width="20.88671875" bestFit="1" customWidth="1"/>
    <col min="1108" max="1108" width="22.88671875" bestFit="1" customWidth="1"/>
    <col min="1109" max="1109" width="14.109375" bestFit="1" customWidth="1"/>
    <col min="1110" max="1110" width="33" bestFit="1" customWidth="1"/>
    <col min="1111" max="1111" width="20.88671875" bestFit="1" customWidth="1"/>
    <col min="1112" max="1112" width="22.88671875" bestFit="1" customWidth="1"/>
    <col min="1113" max="1113" width="14.109375" bestFit="1" customWidth="1"/>
    <col min="1114" max="1114" width="33" bestFit="1" customWidth="1"/>
    <col min="1115" max="1115" width="20.88671875" bestFit="1" customWidth="1"/>
    <col min="1116" max="1116" width="22.88671875" bestFit="1" customWidth="1"/>
    <col min="1117" max="1117" width="14.109375" bestFit="1" customWidth="1"/>
    <col min="1118" max="1118" width="33" bestFit="1" customWidth="1"/>
    <col min="1119" max="1119" width="20.88671875" bestFit="1" customWidth="1"/>
    <col min="1120" max="1120" width="22.88671875" bestFit="1" customWidth="1"/>
    <col min="1121" max="1121" width="14.109375" bestFit="1" customWidth="1"/>
    <col min="1122" max="1122" width="33" bestFit="1" customWidth="1"/>
    <col min="1123" max="1123" width="20.88671875" bestFit="1" customWidth="1"/>
    <col min="1124" max="1124" width="22.88671875" bestFit="1" customWidth="1"/>
    <col min="1125" max="1125" width="14.109375" bestFit="1" customWidth="1"/>
    <col min="1126" max="1126" width="33" bestFit="1" customWidth="1"/>
    <col min="1127" max="1127" width="20.88671875" bestFit="1" customWidth="1"/>
    <col min="1128" max="1128" width="22.88671875" bestFit="1" customWidth="1"/>
    <col min="1129" max="1129" width="14.109375" bestFit="1" customWidth="1"/>
    <col min="1130" max="1130" width="33" bestFit="1" customWidth="1"/>
    <col min="1131" max="1131" width="20.88671875" bestFit="1" customWidth="1"/>
    <col min="1132" max="1132" width="22.88671875" bestFit="1" customWidth="1"/>
    <col min="1133" max="1133" width="14.109375" bestFit="1" customWidth="1"/>
    <col min="1134" max="1134" width="33" bestFit="1" customWidth="1"/>
    <col min="1135" max="1135" width="20.88671875" bestFit="1" customWidth="1"/>
    <col min="1136" max="1136" width="22.88671875" bestFit="1" customWidth="1"/>
    <col min="1137" max="1137" width="14.109375" bestFit="1" customWidth="1"/>
    <col min="1138" max="1138" width="33" bestFit="1" customWidth="1"/>
    <col min="1139" max="1139" width="20.88671875" bestFit="1" customWidth="1"/>
    <col min="1140" max="1140" width="22.88671875" bestFit="1" customWidth="1"/>
    <col min="1141" max="1141" width="14.109375" bestFit="1" customWidth="1"/>
    <col min="1142" max="1142" width="33" bestFit="1" customWidth="1"/>
    <col min="1143" max="1143" width="20.88671875" bestFit="1" customWidth="1"/>
    <col min="1144" max="1144" width="22.88671875" bestFit="1" customWidth="1"/>
    <col min="1145" max="1145" width="14.109375" bestFit="1" customWidth="1"/>
    <col min="1146" max="1146" width="33" bestFit="1" customWidth="1"/>
    <col min="1147" max="1147" width="20.88671875" bestFit="1" customWidth="1"/>
    <col min="1148" max="1148" width="22.88671875" bestFit="1" customWidth="1"/>
    <col min="1149" max="1149" width="14.109375" bestFit="1" customWidth="1"/>
    <col min="1150" max="1150" width="33" bestFit="1" customWidth="1"/>
    <col min="1151" max="1151" width="20.88671875" bestFit="1" customWidth="1"/>
    <col min="1152" max="1152" width="22.88671875" bestFit="1" customWidth="1"/>
    <col min="1153" max="1153" width="14.109375" bestFit="1" customWidth="1"/>
    <col min="1154" max="1154" width="33" bestFit="1" customWidth="1"/>
    <col min="1155" max="1155" width="20.88671875" bestFit="1" customWidth="1"/>
    <col min="1156" max="1156" width="22.88671875" bestFit="1" customWidth="1"/>
    <col min="1157" max="1157" width="14.109375" bestFit="1" customWidth="1"/>
    <col min="1158" max="1158" width="33" bestFit="1" customWidth="1"/>
    <col min="1159" max="1159" width="20.88671875" bestFit="1" customWidth="1"/>
    <col min="1160" max="1160" width="22.88671875" bestFit="1" customWidth="1"/>
    <col min="1161" max="1161" width="14.109375" bestFit="1" customWidth="1"/>
    <col min="1162" max="1162" width="33" bestFit="1" customWidth="1"/>
    <col min="1163" max="1163" width="20.88671875" bestFit="1" customWidth="1"/>
    <col min="1164" max="1164" width="22.88671875" bestFit="1" customWidth="1"/>
    <col min="1165" max="1165" width="14.109375" bestFit="1" customWidth="1"/>
    <col min="1166" max="1166" width="33" bestFit="1" customWidth="1"/>
    <col min="1167" max="1167" width="20.88671875" bestFit="1" customWidth="1"/>
    <col min="1168" max="1168" width="22.88671875" bestFit="1" customWidth="1"/>
    <col min="1169" max="1169" width="14.109375" bestFit="1" customWidth="1"/>
    <col min="1170" max="1170" width="33" bestFit="1" customWidth="1"/>
    <col min="1171" max="1171" width="20.88671875" bestFit="1" customWidth="1"/>
    <col min="1172" max="1172" width="22.88671875" bestFit="1" customWidth="1"/>
    <col min="1173" max="1173" width="14.109375" bestFit="1" customWidth="1"/>
    <col min="1174" max="1174" width="33" bestFit="1" customWidth="1"/>
    <col min="1175" max="1175" width="20.88671875" bestFit="1" customWidth="1"/>
    <col min="1176" max="1176" width="22.88671875" bestFit="1" customWidth="1"/>
    <col min="1177" max="1177" width="14.109375" bestFit="1" customWidth="1"/>
    <col min="1178" max="1178" width="33" bestFit="1" customWidth="1"/>
    <col min="1179" max="1179" width="20.88671875" bestFit="1" customWidth="1"/>
    <col min="1180" max="1180" width="22.88671875" bestFit="1" customWidth="1"/>
    <col min="1181" max="1181" width="14.109375" bestFit="1" customWidth="1"/>
    <col min="1182" max="1182" width="33" bestFit="1" customWidth="1"/>
    <col min="1183" max="1183" width="20.88671875" bestFit="1" customWidth="1"/>
    <col min="1184" max="1184" width="22.88671875" bestFit="1" customWidth="1"/>
    <col min="1185" max="1185" width="14.109375" bestFit="1" customWidth="1"/>
    <col min="1186" max="1186" width="33" bestFit="1" customWidth="1"/>
    <col min="1187" max="1187" width="20.88671875" bestFit="1" customWidth="1"/>
    <col min="1188" max="1188" width="22.88671875" bestFit="1" customWidth="1"/>
    <col min="1189" max="1189" width="14.109375" bestFit="1" customWidth="1"/>
    <col min="1190" max="1190" width="33" bestFit="1" customWidth="1"/>
    <col min="1191" max="1191" width="20.88671875" bestFit="1" customWidth="1"/>
    <col min="1192" max="1192" width="22.88671875" bestFit="1" customWidth="1"/>
    <col min="1193" max="1193" width="14.109375" bestFit="1" customWidth="1"/>
    <col min="1194" max="1194" width="33" bestFit="1" customWidth="1"/>
    <col min="1195" max="1195" width="20.88671875" bestFit="1" customWidth="1"/>
    <col min="1196" max="1196" width="22.88671875" bestFit="1" customWidth="1"/>
    <col min="1197" max="1197" width="14.109375" bestFit="1" customWidth="1"/>
    <col min="1198" max="1198" width="33" bestFit="1" customWidth="1"/>
    <col min="1199" max="1199" width="20.88671875" bestFit="1" customWidth="1"/>
    <col min="1200" max="1200" width="22.88671875" bestFit="1" customWidth="1"/>
    <col min="1201" max="1201" width="14.109375" bestFit="1" customWidth="1"/>
    <col min="1202" max="1202" width="33" bestFit="1" customWidth="1"/>
    <col min="1203" max="1203" width="20.88671875" bestFit="1" customWidth="1"/>
    <col min="1204" max="1204" width="22.88671875" bestFit="1" customWidth="1"/>
    <col min="1205" max="1205" width="14.109375" bestFit="1" customWidth="1"/>
    <col min="1206" max="1206" width="33" bestFit="1" customWidth="1"/>
    <col min="1207" max="1207" width="20.88671875" bestFit="1" customWidth="1"/>
    <col min="1208" max="1208" width="22.88671875" bestFit="1" customWidth="1"/>
    <col min="1209" max="1209" width="14.109375" bestFit="1" customWidth="1"/>
    <col min="1210" max="1210" width="33" bestFit="1" customWidth="1"/>
    <col min="1211" max="1211" width="20.88671875" bestFit="1" customWidth="1"/>
    <col min="1212" max="1212" width="22.88671875" bestFit="1" customWidth="1"/>
    <col min="1213" max="1213" width="14.109375" bestFit="1" customWidth="1"/>
    <col min="1214" max="1214" width="33" bestFit="1" customWidth="1"/>
    <col min="1215" max="1215" width="20.88671875" bestFit="1" customWidth="1"/>
    <col min="1216" max="1216" width="22.88671875" bestFit="1" customWidth="1"/>
    <col min="1217" max="1217" width="14.109375" bestFit="1" customWidth="1"/>
    <col min="1218" max="1218" width="33" bestFit="1" customWidth="1"/>
    <col min="1219" max="1219" width="20.88671875" bestFit="1" customWidth="1"/>
    <col min="1220" max="1220" width="22.88671875" bestFit="1" customWidth="1"/>
    <col min="1221" max="1221" width="14.109375" bestFit="1" customWidth="1"/>
    <col min="1222" max="1222" width="33" bestFit="1" customWidth="1"/>
    <col min="1223" max="1223" width="20.88671875" bestFit="1" customWidth="1"/>
    <col min="1224" max="1224" width="22.88671875" bestFit="1" customWidth="1"/>
    <col min="1225" max="1225" width="14.109375" bestFit="1" customWidth="1"/>
    <col min="1226" max="1226" width="33" bestFit="1" customWidth="1"/>
    <col min="1227" max="1227" width="20.88671875" bestFit="1" customWidth="1"/>
    <col min="1228" max="1228" width="22.88671875" bestFit="1" customWidth="1"/>
    <col min="1229" max="1229" width="14.109375" bestFit="1" customWidth="1"/>
    <col min="1230" max="1230" width="33" bestFit="1" customWidth="1"/>
    <col min="1231" max="1231" width="20.88671875" bestFit="1" customWidth="1"/>
    <col min="1232" max="1232" width="22.88671875" bestFit="1" customWidth="1"/>
    <col min="1233" max="1233" width="14.109375" bestFit="1" customWidth="1"/>
    <col min="1234" max="1234" width="33" bestFit="1" customWidth="1"/>
    <col min="1235" max="1235" width="20.88671875" bestFit="1" customWidth="1"/>
    <col min="1236" max="1236" width="22.88671875" bestFit="1" customWidth="1"/>
    <col min="1237" max="1237" width="14.109375" bestFit="1" customWidth="1"/>
    <col min="1238" max="1238" width="33" bestFit="1" customWidth="1"/>
    <col min="1239" max="1239" width="20.88671875" bestFit="1" customWidth="1"/>
    <col min="1240" max="1240" width="22.88671875" bestFit="1" customWidth="1"/>
    <col min="1241" max="1241" width="14.109375" bestFit="1" customWidth="1"/>
    <col min="1242" max="1242" width="33" bestFit="1" customWidth="1"/>
    <col min="1243" max="1243" width="20.88671875" bestFit="1" customWidth="1"/>
    <col min="1244" max="1244" width="22.88671875" bestFit="1" customWidth="1"/>
    <col min="1245" max="1245" width="14.109375" bestFit="1" customWidth="1"/>
    <col min="1246" max="1246" width="33" bestFit="1" customWidth="1"/>
    <col min="1247" max="1247" width="20.88671875" bestFit="1" customWidth="1"/>
    <col min="1248" max="1248" width="22.88671875" bestFit="1" customWidth="1"/>
    <col min="1249" max="1249" width="14.109375" bestFit="1" customWidth="1"/>
    <col min="1250" max="1250" width="33" bestFit="1" customWidth="1"/>
    <col min="1251" max="1251" width="20.88671875" bestFit="1" customWidth="1"/>
    <col min="1252" max="1252" width="22.88671875" bestFit="1" customWidth="1"/>
    <col min="1253" max="1253" width="14.109375" bestFit="1" customWidth="1"/>
    <col min="1254" max="1254" width="33" bestFit="1" customWidth="1"/>
    <col min="1255" max="1255" width="20.88671875" bestFit="1" customWidth="1"/>
    <col min="1256" max="1256" width="22.88671875" bestFit="1" customWidth="1"/>
    <col min="1257" max="1257" width="14.109375" bestFit="1" customWidth="1"/>
    <col min="1258" max="1258" width="33" bestFit="1" customWidth="1"/>
    <col min="1259" max="1259" width="20.88671875" bestFit="1" customWidth="1"/>
    <col min="1260" max="1260" width="22.88671875" bestFit="1" customWidth="1"/>
    <col min="1261" max="1261" width="14.109375" bestFit="1" customWidth="1"/>
    <col min="1262" max="1262" width="33" bestFit="1" customWidth="1"/>
    <col min="1263" max="1263" width="20.88671875" bestFit="1" customWidth="1"/>
    <col min="1264" max="1264" width="22.88671875" bestFit="1" customWidth="1"/>
    <col min="1265" max="1265" width="14.109375" bestFit="1" customWidth="1"/>
    <col min="1266" max="1266" width="33" bestFit="1" customWidth="1"/>
    <col min="1267" max="1267" width="20.88671875" bestFit="1" customWidth="1"/>
    <col min="1268" max="1268" width="22.88671875" bestFit="1" customWidth="1"/>
    <col min="1269" max="1269" width="14.109375" bestFit="1" customWidth="1"/>
    <col min="1270" max="1270" width="33" bestFit="1" customWidth="1"/>
    <col min="1271" max="1271" width="20.88671875" bestFit="1" customWidth="1"/>
    <col min="1272" max="1272" width="22.88671875" bestFit="1" customWidth="1"/>
    <col min="1273" max="1273" width="14.109375" bestFit="1" customWidth="1"/>
    <col min="1274" max="1274" width="33" bestFit="1" customWidth="1"/>
    <col min="1275" max="1275" width="20.88671875" bestFit="1" customWidth="1"/>
    <col min="1276" max="1276" width="22.88671875" bestFit="1" customWidth="1"/>
    <col min="1277" max="1277" width="14.109375" bestFit="1" customWidth="1"/>
    <col min="1278" max="1278" width="33" bestFit="1" customWidth="1"/>
    <col min="1279" max="1279" width="20.88671875" bestFit="1" customWidth="1"/>
    <col min="1280" max="1280" width="22.88671875" bestFit="1" customWidth="1"/>
    <col min="1281" max="1281" width="14.109375" bestFit="1" customWidth="1"/>
    <col min="1282" max="1282" width="33" bestFit="1" customWidth="1"/>
    <col min="1283" max="1283" width="20.88671875" bestFit="1" customWidth="1"/>
    <col min="1284" max="1284" width="22.88671875" bestFit="1" customWidth="1"/>
    <col min="1285" max="1285" width="14.109375" bestFit="1" customWidth="1"/>
    <col min="1286" max="1286" width="33" bestFit="1" customWidth="1"/>
    <col min="1287" max="1287" width="20.88671875" bestFit="1" customWidth="1"/>
    <col min="1288" max="1288" width="22.88671875" bestFit="1" customWidth="1"/>
    <col min="1289" max="1289" width="14.109375" bestFit="1" customWidth="1"/>
    <col min="1290" max="1290" width="33" bestFit="1" customWidth="1"/>
    <col min="1291" max="1291" width="20.88671875" bestFit="1" customWidth="1"/>
    <col min="1292" max="1292" width="22.88671875" bestFit="1" customWidth="1"/>
    <col min="1293" max="1293" width="14.109375" bestFit="1" customWidth="1"/>
    <col min="1294" max="1294" width="33" bestFit="1" customWidth="1"/>
    <col min="1295" max="1295" width="20.88671875" bestFit="1" customWidth="1"/>
    <col min="1296" max="1296" width="22.88671875" bestFit="1" customWidth="1"/>
    <col min="1297" max="1297" width="14.109375" bestFit="1" customWidth="1"/>
    <col min="1298" max="1298" width="33" bestFit="1" customWidth="1"/>
    <col min="1299" max="1299" width="20.88671875" bestFit="1" customWidth="1"/>
    <col min="1300" max="1300" width="22.88671875" bestFit="1" customWidth="1"/>
    <col min="1301" max="1301" width="14.109375" bestFit="1" customWidth="1"/>
    <col min="1302" max="1302" width="33" bestFit="1" customWidth="1"/>
    <col min="1303" max="1303" width="20.88671875" bestFit="1" customWidth="1"/>
    <col min="1304" max="1304" width="22.88671875" bestFit="1" customWidth="1"/>
    <col min="1305" max="1305" width="14.109375" bestFit="1" customWidth="1"/>
    <col min="1306" max="1306" width="33" bestFit="1" customWidth="1"/>
    <col min="1307" max="1307" width="20.88671875" bestFit="1" customWidth="1"/>
    <col min="1308" max="1308" width="22.88671875" bestFit="1" customWidth="1"/>
    <col min="1309" max="1309" width="14.109375" bestFit="1" customWidth="1"/>
    <col min="1310" max="1310" width="33" bestFit="1" customWidth="1"/>
    <col min="1311" max="1311" width="20.88671875" bestFit="1" customWidth="1"/>
    <col min="1312" max="1312" width="22.88671875" bestFit="1" customWidth="1"/>
    <col min="1313" max="1313" width="14.109375" bestFit="1" customWidth="1"/>
    <col min="1314" max="1314" width="33" bestFit="1" customWidth="1"/>
    <col min="1315" max="1315" width="20.88671875" bestFit="1" customWidth="1"/>
    <col min="1316" max="1316" width="22.88671875" bestFit="1" customWidth="1"/>
    <col min="1317" max="1317" width="14.109375" bestFit="1" customWidth="1"/>
    <col min="1318" max="1318" width="33" bestFit="1" customWidth="1"/>
    <col min="1319" max="1319" width="20.88671875" bestFit="1" customWidth="1"/>
    <col min="1320" max="1320" width="22.88671875" bestFit="1" customWidth="1"/>
    <col min="1321" max="1321" width="14.109375" bestFit="1" customWidth="1"/>
    <col min="1322" max="1322" width="33" bestFit="1" customWidth="1"/>
    <col min="1323" max="1323" width="20.88671875" bestFit="1" customWidth="1"/>
    <col min="1324" max="1324" width="22.88671875" bestFit="1" customWidth="1"/>
    <col min="1325" max="1325" width="14.109375" bestFit="1" customWidth="1"/>
    <col min="1326" max="1326" width="33" bestFit="1" customWidth="1"/>
    <col min="1327" max="1327" width="20.88671875" bestFit="1" customWidth="1"/>
    <col min="1328" max="1328" width="22.88671875" bestFit="1" customWidth="1"/>
    <col min="1329" max="1329" width="14.109375" bestFit="1" customWidth="1"/>
    <col min="1330" max="1330" width="33" bestFit="1" customWidth="1"/>
    <col min="1331" max="1331" width="20.88671875" bestFit="1" customWidth="1"/>
    <col min="1332" max="1332" width="22.88671875" bestFit="1" customWidth="1"/>
    <col min="1333" max="1333" width="14.109375" bestFit="1" customWidth="1"/>
    <col min="1334" max="1334" width="33" bestFit="1" customWidth="1"/>
    <col min="1335" max="1335" width="20.88671875" bestFit="1" customWidth="1"/>
    <col min="1336" max="1336" width="22.88671875" bestFit="1" customWidth="1"/>
    <col min="1337" max="1337" width="14.109375" bestFit="1" customWidth="1"/>
    <col min="1338" max="1338" width="33" bestFit="1" customWidth="1"/>
    <col min="1339" max="1339" width="20.88671875" bestFit="1" customWidth="1"/>
    <col min="1340" max="1340" width="22.88671875" bestFit="1" customWidth="1"/>
    <col min="1341" max="1341" width="14.109375" bestFit="1" customWidth="1"/>
    <col min="1342" max="1342" width="33" bestFit="1" customWidth="1"/>
    <col min="1343" max="1343" width="20.88671875" bestFit="1" customWidth="1"/>
    <col min="1344" max="1344" width="22.88671875" bestFit="1" customWidth="1"/>
    <col min="1345" max="1345" width="14.109375" bestFit="1" customWidth="1"/>
    <col min="1346" max="1346" width="33" bestFit="1" customWidth="1"/>
    <col min="1347" max="1347" width="20.88671875" bestFit="1" customWidth="1"/>
    <col min="1348" max="1348" width="22.88671875" bestFit="1" customWidth="1"/>
    <col min="1349" max="1349" width="14.109375" bestFit="1" customWidth="1"/>
    <col min="1350" max="1350" width="33" bestFit="1" customWidth="1"/>
    <col min="1351" max="1351" width="20.88671875" bestFit="1" customWidth="1"/>
    <col min="1352" max="1352" width="22.88671875" bestFit="1" customWidth="1"/>
    <col min="1353" max="1353" width="14.109375" bestFit="1" customWidth="1"/>
    <col min="1354" max="1354" width="33" bestFit="1" customWidth="1"/>
    <col min="1355" max="1355" width="20.88671875" bestFit="1" customWidth="1"/>
    <col min="1356" max="1356" width="22.88671875" bestFit="1" customWidth="1"/>
    <col min="1357" max="1357" width="14.109375" bestFit="1" customWidth="1"/>
    <col min="1358" max="1358" width="33" bestFit="1" customWidth="1"/>
    <col min="1359" max="1359" width="20.88671875" bestFit="1" customWidth="1"/>
    <col min="1360" max="1360" width="22.88671875" bestFit="1" customWidth="1"/>
    <col min="1361" max="1361" width="14.109375" bestFit="1" customWidth="1"/>
    <col min="1362" max="1362" width="33" bestFit="1" customWidth="1"/>
    <col min="1363" max="1363" width="20.88671875" bestFit="1" customWidth="1"/>
    <col min="1364" max="1364" width="22.88671875" bestFit="1" customWidth="1"/>
    <col min="1365" max="1365" width="14.109375" bestFit="1" customWidth="1"/>
    <col min="1366" max="1366" width="33" bestFit="1" customWidth="1"/>
    <col min="1367" max="1367" width="20.88671875" bestFit="1" customWidth="1"/>
    <col min="1368" max="1368" width="22.88671875" bestFit="1" customWidth="1"/>
    <col min="1369" max="1369" width="14.109375" bestFit="1" customWidth="1"/>
    <col min="1370" max="1370" width="33" bestFit="1" customWidth="1"/>
    <col min="1371" max="1371" width="20.88671875" bestFit="1" customWidth="1"/>
    <col min="1372" max="1372" width="22.88671875" bestFit="1" customWidth="1"/>
    <col min="1373" max="1373" width="14.109375" bestFit="1" customWidth="1"/>
    <col min="1374" max="1374" width="33" bestFit="1" customWidth="1"/>
    <col min="1375" max="1375" width="20.88671875" bestFit="1" customWidth="1"/>
    <col min="1376" max="1376" width="22.88671875" bestFit="1" customWidth="1"/>
    <col min="1377" max="1377" width="14.109375" bestFit="1" customWidth="1"/>
    <col min="1378" max="1378" width="33" bestFit="1" customWidth="1"/>
    <col min="1379" max="1379" width="20.88671875" bestFit="1" customWidth="1"/>
    <col min="1380" max="1380" width="22.88671875" bestFit="1" customWidth="1"/>
    <col min="1381" max="1381" width="14.109375" bestFit="1" customWidth="1"/>
    <col min="1382" max="1382" width="33" bestFit="1" customWidth="1"/>
    <col min="1383" max="1383" width="20.88671875" bestFit="1" customWidth="1"/>
    <col min="1384" max="1384" width="22.88671875" bestFit="1" customWidth="1"/>
    <col min="1385" max="1385" width="14.109375" bestFit="1" customWidth="1"/>
    <col min="1386" max="1386" width="33" bestFit="1" customWidth="1"/>
    <col min="1387" max="1387" width="20.88671875" bestFit="1" customWidth="1"/>
    <col min="1388" max="1388" width="22.88671875" bestFit="1" customWidth="1"/>
    <col min="1389" max="1389" width="14.109375" bestFit="1" customWidth="1"/>
    <col min="1390" max="1390" width="33" bestFit="1" customWidth="1"/>
    <col min="1391" max="1391" width="20.88671875" bestFit="1" customWidth="1"/>
    <col min="1392" max="1392" width="22.88671875" bestFit="1" customWidth="1"/>
    <col min="1393" max="1393" width="14.109375" bestFit="1" customWidth="1"/>
    <col min="1394" max="1394" width="33" bestFit="1" customWidth="1"/>
    <col min="1395" max="1395" width="20.88671875" bestFit="1" customWidth="1"/>
    <col min="1396" max="1396" width="22.88671875" bestFit="1" customWidth="1"/>
    <col min="1397" max="1397" width="14.109375" bestFit="1" customWidth="1"/>
    <col min="1398" max="1398" width="33" bestFit="1" customWidth="1"/>
    <col min="1399" max="1399" width="20.88671875" bestFit="1" customWidth="1"/>
    <col min="1400" max="1400" width="22.88671875" bestFit="1" customWidth="1"/>
    <col min="1401" max="1401" width="14.109375" bestFit="1" customWidth="1"/>
    <col min="1402" max="1402" width="33" bestFit="1" customWidth="1"/>
    <col min="1403" max="1403" width="20.88671875" bestFit="1" customWidth="1"/>
    <col min="1404" max="1404" width="22.88671875" bestFit="1" customWidth="1"/>
    <col min="1405" max="1405" width="14.109375" bestFit="1" customWidth="1"/>
    <col min="1406" max="1406" width="33" bestFit="1" customWidth="1"/>
    <col min="1407" max="1407" width="20.88671875" bestFit="1" customWidth="1"/>
    <col min="1408" max="1408" width="22.88671875" bestFit="1" customWidth="1"/>
    <col min="1409" max="1409" width="14.109375" bestFit="1" customWidth="1"/>
    <col min="1410" max="1410" width="33" bestFit="1" customWidth="1"/>
    <col min="1411" max="1411" width="20.88671875" bestFit="1" customWidth="1"/>
    <col min="1412" max="1412" width="22.88671875" bestFit="1" customWidth="1"/>
    <col min="1413" max="1413" width="14.109375" bestFit="1" customWidth="1"/>
    <col min="1414" max="1414" width="33" bestFit="1" customWidth="1"/>
    <col min="1415" max="1415" width="20.88671875" bestFit="1" customWidth="1"/>
    <col min="1416" max="1416" width="22.88671875" bestFit="1" customWidth="1"/>
    <col min="1417" max="1417" width="14.109375" bestFit="1" customWidth="1"/>
    <col min="1418" max="1418" width="33" bestFit="1" customWidth="1"/>
    <col min="1419" max="1419" width="20.88671875" bestFit="1" customWidth="1"/>
    <col min="1420" max="1420" width="22.88671875" bestFit="1" customWidth="1"/>
    <col min="1421" max="1421" width="14.109375" bestFit="1" customWidth="1"/>
    <col min="1422" max="1422" width="33" bestFit="1" customWidth="1"/>
    <col min="1423" max="1423" width="20.88671875" bestFit="1" customWidth="1"/>
    <col min="1424" max="1424" width="22.88671875" bestFit="1" customWidth="1"/>
    <col min="1425" max="1425" width="14.109375" bestFit="1" customWidth="1"/>
    <col min="1426" max="1426" width="33" bestFit="1" customWidth="1"/>
    <col min="1427" max="1427" width="20.88671875" bestFit="1" customWidth="1"/>
    <col min="1428" max="1428" width="22.88671875" bestFit="1" customWidth="1"/>
    <col min="1429" max="1429" width="14.109375" bestFit="1" customWidth="1"/>
    <col min="1430" max="1430" width="33" bestFit="1" customWidth="1"/>
    <col min="1431" max="1431" width="20.88671875" bestFit="1" customWidth="1"/>
    <col min="1432" max="1432" width="22.88671875" bestFit="1" customWidth="1"/>
    <col min="1433" max="1433" width="14.109375" bestFit="1" customWidth="1"/>
    <col min="1434" max="1434" width="33" bestFit="1" customWidth="1"/>
    <col min="1435" max="1435" width="20.88671875" bestFit="1" customWidth="1"/>
    <col min="1436" max="1436" width="22.88671875" bestFit="1" customWidth="1"/>
    <col min="1437" max="1437" width="14.109375" bestFit="1" customWidth="1"/>
    <col min="1438" max="1438" width="33" bestFit="1" customWidth="1"/>
    <col min="1439" max="1439" width="20.88671875" bestFit="1" customWidth="1"/>
    <col min="1440" max="1440" width="22.88671875" bestFit="1" customWidth="1"/>
    <col min="1441" max="1441" width="14.109375" bestFit="1" customWidth="1"/>
    <col min="1442" max="1442" width="33" bestFit="1" customWidth="1"/>
    <col min="1443" max="1443" width="20.88671875" bestFit="1" customWidth="1"/>
    <col min="1444" max="1444" width="22.88671875" bestFit="1" customWidth="1"/>
    <col min="1445" max="1445" width="14.109375" bestFit="1" customWidth="1"/>
    <col min="1446" max="1446" width="33" bestFit="1" customWidth="1"/>
    <col min="1447" max="1447" width="20.88671875" bestFit="1" customWidth="1"/>
    <col min="1448" max="1448" width="22.88671875" bestFit="1" customWidth="1"/>
    <col min="1449" max="1449" width="14.109375" bestFit="1" customWidth="1"/>
    <col min="1450" max="1450" width="33" bestFit="1" customWidth="1"/>
    <col min="1451" max="1451" width="20.88671875" bestFit="1" customWidth="1"/>
    <col min="1452" max="1452" width="22.88671875" bestFit="1" customWidth="1"/>
    <col min="1453" max="1453" width="14.109375" bestFit="1" customWidth="1"/>
    <col min="1454" max="1454" width="33" bestFit="1" customWidth="1"/>
    <col min="1455" max="1455" width="20.88671875" bestFit="1" customWidth="1"/>
    <col min="1456" max="1456" width="22.88671875" bestFit="1" customWidth="1"/>
    <col min="1457" max="1457" width="14.109375" bestFit="1" customWidth="1"/>
    <col min="1458" max="1458" width="33" bestFit="1" customWidth="1"/>
    <col min="1459" max="1459" width="20.88671875" bestFit="1" customWidth="1"/>
    <col min="1460" max="1460" width="22.88671875" bestFit="1" customWidth="1"/>
    <col min="1461" max="1461" width="14.109375" bestFit="1" customWidth="1"/>
    <col min="1462" max="1462" width="33" bestFit="1" customWidth="1"/>
    <col min="1463" max="1463" width="20.88671875" bestFit="1" customWidth="1"/>
    <col min="1464" max="1464" width="22.88671875" bestFit="1" customWidth="1"/>
    <col min="1465" max="1465" width="14.109375" bestFit="1" customWidth="1"/>
    <col min="1466" max="1466" width="33" bestFit="1" customWidth="1"/>
    <col min="1467" max="1467" width="20.88671875" bestFit="1" customWidth="1"/>
    <col min="1468" max="1468" width="22.88671875" bestFit="1" customWidth="1"/>
    <col min="1469" max="1469" width="14.109375" bestFit="1" customWidth="1"/>
    <col min="1470" max="1470" width="33" bestFit="1" customWidth="1"/>
    <col min="1471" max="1471" width="20.88671875" bestFit="1" customWidth="1"/>
    <col min="1472" max="1472" width="22.88671875" bestFit="1" customWidth="1"/>
    <col min="1473" max="1473" width="14.109375" bestFit="1" customWidth="1"/>
    <col min="1474" max="1474" width="33" bestFit="1" customWidth="1"/>
    <col min="1475" max="1475" width="20.88671875" bestFit="1" customWidth="1"/>
    <col min="1476" max="1476" width="22.88671875" bestFit="1" customWidth="1"/>
    <col min="1477" max="1477" width="14.109375" bestFit="1" customWidth="1"/>
    <col min="1478" max="1478" width="33" bestFit="1" customWidth="1"/>
    <col min="1479" max="1479" width="20.88671875" bestFit="1" customWidth="1"/>
    <col min="1480" max="1480" width="22.88671875" bestFit="1" customWidth="1"/>
    <col min="1481" max="1481" width="14.109375" bestFit="1" customWidth="1"/>
    <col min="1482" max="1482" width="33" bestFit="1" customWidth="1"/>
    <col min="1483" max="1483" width="20.88671875" bestFit="1" customWidth="1"/>
    <col min="1484" max="1484" width="22.88671875" bestFit="1" customWidth="1"/>
    <col min="1485" max="1485" width="14.109375" bestFit="1" customWidth="1"/>
    <col min="1486" max="1486" width="33" bestFit="1" customWidth="1"/>
    <col min="1487" max="1487" width="20.88671875" bestFit="1" customWidth="1"/>
    <col min="1488" max="1488" width="22.88671875" bestFit="1" customWidth="1"/>
    <col min="1489" max="1489" width="14.109375" bestFit="1" customWidth="1"/>
    <col min="1490" max="1490" width="33" bestFit="1" customWidth="1"/>
    <col min="1491" max="1491" width="20.88671875" bestFit="1" customWidth="1"/>
    <col min="1492" max="1492" width="22.88671875" bestFit="1" customWidth="1"/>
    <col min="1493" max="1493" width="14.109375" bestFit="1" customWidth="1"/>
    <col min="1494" max="1494" width="33" bestFit="1" customWidth="1"/>
    <col min="1495" max="1495" width="20.88671875" bestFit="1" customWidth="1"/>
    <col min="1496" max="1496" width="22.88671875" bestFit="1" customWidth="1"/>
    <col min="1497" max="1497" width="14.109375" bestFit="1" customWidth="1"/>
    <col min="1498" max="1498" width="33" bestFit="1" customWidth="1"/>
    <col min="1499" max="1499" width="20.88671875" bestFit="1" customWidth="1"/>
    <col min="1500" max="1500" width="22.88671875" bestFit="1" customWidth="1"/>
    <col min="1501" max="1501" width="14.109375" bestFit="1" customWidth="1"/>
    <col min="1502" max="1502" width="33" bestFit="1" customWidth="1"/>
    <col min="1503" max="1503" width="20.88671875" bestFit="1" customWidth="1"/>
    <col min="1504" max="1504" width="22.88671875" bestFit="1" customWidth="1"/>
    <col min="1505" max="1505" width="14.109375" bestFit="1" customWidth="1"/>
    <col min="1506" max="1506" width="33" bestFit="1" customWidth="1"/>
    <col min="1507" max="1507" width="20.88671875" bestFit="1" customWidth="1"/>
    <col min="1508" max="1508" width="22.88671875" bestFit="1" customWidth="1"/>
    <col min="1509" max="1509" width="14.109375" bestFit="1" customWidth="1"/>
    <col min="1510" max="1510" width="33" bestFit="1" customWidth="1"/>
    <col min="1511" max="1511" width="20.88671875" bestFit="1" customWidth="1"/>
    <col min="1512" max="1512" width="22.88671875" bestFit="1" customWidth="1"/>
    <col min="1513" max="1513" width="14.109375" bestFit="1" customWidth="1"/>
    <col min="1514" max="1514" width="33" bestFit="1" customWidth="1"/>
    <col min="1515" max="1515" width="20.88671875" bestFit="1" customWidth="1"/>
    <col min="1516" max="1516" width="22.88671875" bestFit="1" customWidth="1"/>
    <col min="1517" max="1517" width="14.109375" bestFit="1" customWidth="1"/>
    <col min="1518" max="1518" width="33" bestFit="1" customWidth="1"/>
    <col min="1519" max="1519" width="20.88671875" bestFit="1" customWidth="1"/>
    <col min="1520" max="1520" width="22.88671875" bestFit="1" customWidth="1"/>
    <col min="1521" max="1521" width="14.109375" bestFit="1" customWidth="1"/>
    <col min="1522" max="1522" width="33" bestFit="1" customWidth="1"/>
    <col min="1523" max="1523" width="20.88671875" bestFit="1" customWidth="1"/>
    <col min="1524" max="1524" width="22.88671875" bestFit="1" customWidth="1"/>
    <col min="1525" max="1525" width="14.109375" bestFit="1" customWidth="1"/>
    <col min="1526" max="1526" width="33" bestFit="1" customWidth="1"/>
    <col min="1527" max="1527" width="20.88671875" bestFit="1" customWidth="1"/>
    <col min="1528" max="1528" width="22.88671875" bestFit="1" customWidth="1"/>
    <col min="1529" max="1529" width="14.109375" bestFit="1" customWidth="1"/>
    <col min="1530" max="1530" width="33" bestFit="1" customWidth="1"/>
    <col min="1531" max="1531" width="20.88671875" bestFit="1" customWidth="1"/>
    <col min="1532" max="1532" width="22.88671875" bestFit="1" customWidth="1"/>
    <col min="1533" max="1533" width="14.109375" bestFit="1" customWidth="1"/>
    <col min="1534" max="1534" width="33" bestFit="1" customWidth="1"/>
    <col min="1535" max="1535" width="20.88671875" bestFit="1" customWidth="1"/>
    <col min="1536" max="1536" width="22.88671875" bestFit="1" customWidth="1"/>
    <col min="1537" max="1537" width="14.109375" bestFit="1" customWidth="1"/>
    <col min="1538" max="1538" width="33" bestFit="1" customWidth="1"/>
    <col min="1539" max="1539" width="20.88671875" bestFit="1" customWidth="1"/>
    <col min="1540" max="1540" width="22.88671875" bestFit="1" customWidth="1"/>
    <col min="1541" max="1541" width="14.109375" bestFit="1" customWidth="1"/>
    <col min="1542" max="1542" width="33" bestFit="1" customWidth="1"/>
    <col min="1543" max="1543" width="20.88671875" bestFit="1" customWidth="1"/>
    <col min="1544" max="1544" width="22.88671875" bestFit="1" customWidth="1"/>
    <col min="1545" max="1545" width="14.109375" bestFit="1" customWidth="1"/>
    <col min="1546" max="1546" width="33" bestFit="1" customWidth="1"/>
    <col min="1547" max="1547" width="20.88671875" bestFit="1" customWidth="1"/>
    <col min="1548" max="1548" width="22.88671875" bestFit="1" customWidth="1"/>
    <col min="1549" max="1549" width="14.109375" bestFit="1" customWidth="1"/>
    <col min="1550" max="1550" width="33" bestFit="1" customWidth="1"/>
    <col min="1551" max="1551" width="20.88671875" bestFit="1" customWidth="1"/>
    <col min="1552" max="1552" width="22.88671875" bestFit="1" customWidth="1"/>
    <col min="1553" max="1553" width="14.109375" bestFit="1" customWidth="1"/>
    <col min="1554" max="1554" width="33" bestFit="1" customWidth="1"/>
    <col min="1555" max="1555" width="20.88671875" bestFit="1" customWidth="1"/>
    <col min="1556" max="1556" width="22.88671875" bestFit="1" customWidth="1"/>
    <col min="1557" max="1557" width="14.109375" bestFit="1" customWidth="1"/>
    <col min="1558" max="1558" width="33" bestFit="1" customWidth="1"/>
    <col min="1559" max="1559" width="20.88671875" bestFit="1" customWidth="1"/>
    <col min="1560" max="1560" width="22.88671875" bestFit="1" customWidth="1"/>
    <col min="1561" max="1561" width="14.109375" bestFit="1" customWidth="1"/>
    <col min="1562" max="1562" width="33" bestFit="1" customWidth="1"/>
    <col min="1563" max="1563" width="20.88671875" bestFit="1" customWidth="1"/>
    <col min="1564" max="1564" width="22.88671875" bestFit="1" customWidth="1"/>
    <col min="1565" max="1565" width="14.109375" bestFit="1" customWidth="1"/>
    <col min="1566" max="1566" width="33" bestFit="1" customWidth="1"/>
    <col min="1567" max="1567" width="20.88671875" bestFit="1" customWidth="1"/>
    <col min="1568" max="1568" width="22.88671875" bestFit="1" customWidth="1"/>
    <col min="1569" max="1569" width="14.109375" bestFit="1" customWidth="1"/>
    <col min="1570" max="1570" width="33" bestFit="1" customWidth="1"/>
    <col min="1571" max="1571" width="20.88671875" bestFit="1" customWidth="1"/>
    <col min="1572" max="1572" width="22.88671875" bestFit="1" customWidth="1"/>
    <col min="1573" max="1573" width="14.109375" bestFit="1" customWidth="1"/>
    <col min="1574" max="1574" width="33" bestFit="1" customWidth="1"/>
    <col min="1575" max="1575" width="20.88671875" bestFit="1" customWidth="1"/>
    <col min="1576" max="1576" width="22.88671875" bestFit="1" customWidth="1"/>
    <col min="1577" max="1577" width="14.109375" bestFit="1" customWidth="1"/>
    <col min="1578" max="1578" width="33" bestFit="1" customWidth="1"/>
    <col min="1579" max="1579" width="20.88671875" bestFit="1" customWidth="1"/>
    <col min="1580" max="1580" width="22.88671875" bestFit="1" customWidth="1"/>
    <col min="1581" max="1581" width="14.109375" bestFit="1" customWidth="1"/>
    <col min="1582" max="1582" width="33" bestFit="1" customWidth="1"/>
    <col min="1583" max="1583" width="20.88671875" bestFit="1" customWidth="1"/>
    <col min="1584" max="1584" width="22.88671875" bestFit="1" customWidth="1"/>
    <col min="1585" max="1585" width="14.109375" bestFit="1" customWidth="1"/>
    <col min="1586" max="1586" width="33" bestFit="1" customWidth="1"/>
    <col min="1587" max="1587" width="20.88671875" bestFit="1" customWidth="1"/>
    <col min="1588" max="1588" width="22.88671875" bestFit="1" customWidth="1"/>
    <col min="1589" max="1589" width="14.109375" bestFit="1" customWidth="1"/>
    <col min="1590" max="1590" width="33" bestFit="1" customWidth="1"/>
    <col min="1591" max="1591" width="20.88671875" bestFit="1" customWidth="1"/>
    <col min="1592" max="1592" width="22.88671875" bestFit="1" customWidth="1"/>
    <col min="1593" max="1593" width="14.109375" bestFit="1" customWidth="1"/>
    <col min="1594" max="1594" width="33" bestFit="1" customWidth="1"/>
    <col min="1595" max="1595" width="20.88671875" bestFit="1" customWidth="1"/>
    <col min="1596" max="1596" width="22.88671875" bestFit="1" customWidth="1"/>
    <col min="1597" max="1597" width="14.109375" bestFit="1" customWidth="1"/>
    <col min="1598" max="1598" width="33" bestFit="1" customWidth="1"/>
    <col min="1599" max="1599" width="20.88671875" bestFit="1" customWidth="1"/>
    <col min="1600" max="1600" width="22.88671875" bestFit="1" customWidth="1"/>
    <col min="1601" max="1601" width="14.109375" bestFit="1" customWidth="1"/>
    <col min="1602" max="1602" width="33" bestFit="1" customWidth="1"/>
    <col min="1603" max="1603" width="20.88671875" bestFit="1" customWidth="1"/>
    <col min="1604" max="1604" width="22.88671875" bestFit="1" customWidth="1"/>
    <col min="1605" max="1605" width="14.109375" bestFit="1" customWidth="1"/>
    <col min="1606" max="1606" width="33" bestFit="1" customWidth="1"/>
    <col min="1607" max="1607" width="20.88671875" bestFit="1" customWidth="1"/>
    <col min="1608" max="1608" width="22.88671875" bestFit="1" customWidth="1"/>
    <col min="1609" max="1609" width="14.109375" bestFit="1" customWidth="1"/>
    <col min="1610" max="1610" width="33" bestFit="1" customWidth="1"/>
    <col min="1611" max="1611" width="20.88671875" bestFit="1" customWidth="1"/>
    <col min="1612" max="1612" width="22.88671875" bestFit="1" customWidth="1"/>
    <col min="1613" max="1613" width="14.109375" bestFit="1" customWidth="1"/>
    <col min="1614" max="1614" width="33" bestFit="1" customWidth="1"/>
    <col min="1615" max="1615" width="20.88671875" bestFit="1" customWidth="1"/>
    <col min="1616" max="1616" width="22.88671875" bestFit="1" customWidth="1"/>
    <col min="1617" max="1617" width="14.109375" bestFit="1" customWidth="1"/>
    <col min="1618" max="1618" width="33" bestFit="1" customWidth="1"/>
    <col min="1619" max="1619" width="20.88671875" bestFit="1" customWidth="1"/>
    <col min="1620" max="1620" width="22.88671875" bestFit="1" customWidth="1"/>
    <col min="1621" max="1621" width="14.109375" bestFit="1" customWidth="1"/>
    <col min="1622" max="1622" width="33" bestFit="1" customWidth="1"/>
    <col min="1623" max="1623" width="20.88671875" bestFit="1" customWidth="1"/>
    <col min="1624" max="1624" width="22.88671875" bestFit="1" customWidth="1"/>
    <col min="1625" max="1625" width="14.109375" bestFit="1" customWidth="1"/>
    <col min="1626" max="1626" width="33" bestFit="1" customWidth="1"/>
    <col min="1627" max="1627" width="20.88671875" bestFit="1" customWidth="1"/>
    <col min="1628" max="1628" width="22.88671875" bestFit="1" customWidth="1"/>
    <col min="1629" max="1629" width="14.109375" bestFit="1" customWidth="1"/>
    <col min="1630" max="1630" width="33" bestFit="1" customWidth="1"/>
    <col min="1631" max="1631" width="20.88671875" bestFit="1" customWidth="1"/>
    <col min="1632" max="1632" width="22.88671875" bestFit="1" customWidth="1"/>
    <col min="1633" max="1633" width="14.109375" bestFit="1" customWidth="1"/>
    <col min="1634" max="1634" width="33" bestFit="1" customWidth="1"/>
    <col min="1635" max="1635" width="20.88671875" bestFit="1" customWidth="1"/>
    <col min="1636" max="1636" width="22.88671875" bestFit="1" customWidth="1"/>
    <col min="1637" max="1637" width="14.109375" bestFit="1" customWidth="1"/>
    <col min="1638" max="1638" width="33" bestFit="1" customWidth="1"/>
    <col min="1639" max="1639" width="20.88671875" bestFit="1" customWidth="1"/>
    <col min="1640" max="1640" width="22.88671875" bestFit="1" customWidth="1"/>
    <col min="1641" max="1641" width="14.109375" bestFit="1" customWidth="1"/>
    <col min="1642" max="1642" width="33" bestFit="1" customWidth="1"/>
    <col min="1643" max="1643" width="20.88671875" bestFit="1" customWidth="1"/>
    <col min="1644" max="1644" width="22.88671875" bestFit="1" customWidth="1"/>
    <col min="1645" max="1645" width="14.109375" bestFit="1" customWidth="1"/>
    <col min="1646" max="1646" width="33" bestFit="1" customWidth="1"/>
    <col min="1647" max="1647" width="20.88671875" bestFit="1" customWidth="1"/>
    <col min="1648" max="1648" width="22.88671875" bestFit="1" customWidth="1"/>
    <col min="1649" max="1649" width="14.109375" bestFit="1" customWidth="1"/>
    <col min="1650" max="1650" width="33" bestFit="1" customWidth="1"/>
    <col min="1651" max="1651" width="20.88671875" bestFit="1" customWidth="1"/>
    <col min="1652" max="1652" width="22.88671875" bestFit="1" customWidth="1"/>
    <col min="1653" max="1653" width="14.109375" bestFit="1" customWidth="1"/>
    <col min="1654" max="1654" width="33" bestFit="1" customWidth="1"/>
    <col min="1655" max="1655" width="20.88671875" bestFit="1" customWidth="1"/>
    <col min="1656" max="1656" width="22.88671875" bestFit="1" customWidth="1"/>
    <col min="1657" max="1657" width="14.109375" bestFit="1" customWidth="1"/>
    <col min="1658" max="1658" width="33" bestFit="1" customWidth="1"/>
    <col min="1659" max="1659" width="20.88671875" bestFit="1" customWidth="1"/>
    <col min="1660" max="1660" width="22.88671875" bestFit="1" customWidth="1"/>
    <col min="1661" max="1661" width="14.109375" bestFit="1" customWidth="1"/>
    <col min="1662" max="1662" width="33" bestFit="1" customWidth="1"/>
    <col min="1663" max="1663" width="20.88671875" bestFit="1" customWidth="1"/>
    <col min="1664" max="1664" width="22.88671875" bestFit="1" customWidth="1"/>
    <col min="1665" max="1665" width="14.109375" bestFit="1" customWidth="1"/>
    <col min="1666" max="1666" width="33" bestFit="1" customWidth="1"/>
    <col min="1667" max="1667" width="20.88671875" bestFit="1" customWidth="1"/>
    <col min="1668" max="1668" width="22.88671875" bestFit="1" customWidth="1"/>
    <col min="1669" max="1669" width="14.109375" bestFit="1" customWidth="1"/>
    <col min="1670" max="1670" width="33" bestFit="1" customWidth="1"/>
    <col min="1671" max="1671" width="20.88671875" bestFit="1" customWidth="1"/>
    <col min="1672" max="1672" width="22.88671875" bestFit="1" customWidth="1"/>
    <col min="1673" max="1673" width="14.109375" bestFit="1" customWidth="1"/>
    <col min="1674" max="1674" width="33" bestFit="1" customWidth="1"/>
    <col min="1675" max="1675" width="20.88671875" bestFit="1" customWidth="1"/>
    <col min="1676" max="1676" width="22.88671875" bestFit="1" customWidth="1"/>
    <col min="1677" max="1677" width="14.109375" bestFit="1" customWidth="1"/>
    <col min="1678" max="1678" width="33" bestFit="1" customWidth="1"/>
    <col min="1679" max="1679" width="20.88671875" bestFit="1" customWidth="1"/>
    <col min="1680" max="1680" width="22.88671875" bestFit="1" customWidth="1"/>
    <col min="1681" max="1681" width="14.109375" bestFit="1" customWidth="1"/>
    <col min="1682" max="1682" width="33" bestFit="1" customWidth="1"/>
    <col min="1683" max="1683" width="20.88671875" bestFit="1" customWidth="1"/>
    <col min="1684" max="1684" width="22.88671875" bestFit="1" customWidth="1"/>
    <col min="1685" max="1685" width="14.109375" bestFit="1" customWidth="1"/>
    <col min="1686" max="1686" width="33" bestFit="1" customWidth="1"/>
    <col min="1687" max="1687" width="20.88671875" bestFit="1" customWidth="1"/>
    <col min="1688" max="1688" width="22.88671875" bestFit="1" customWidth="1"/>
    <col min="1689" max="1689" width="14.109375" bestFit="1" customWidth="1"/>
    <col min="1690" max="1690" width="33" bestFit="1" customWidth="1"/>
    <col min="1691" max="1691" width="20.88671875" bestFit="1" customWidth="1"/>
    <col min="1692" max="1692" width="22.88671875" bestFit="1" customWidth="1"/>
    <col min="1693" max="1693" width="14.109375" bestFit="1" customWidth="1"/>
    <col min="1694" max="1694" width="33" bestFit="1" customWidth="1"/>
    <col min="1695" max="1695" width="20.88671875" bestFit="1" customWidth="1"/>
    <col min="1696" max="1696" width="22.88671875" bestFit="1" customWidth="1"/>
    <col min="1697" max="1697" width="14.109375" bestFit="1" customWidth="1"/>
    <col min="1698" max="1698" width="33" bestFit="1" customWidth="1"/>
    <col min="1699" max="1699" width="20.88671875" bestFit="1" customWidth="1"/>
    <col min="1700" max="1700" width="22.88671875" bestFit="1" customWidth="1"/>
    <col min="1701" max="1701" width="14.109375" bestFit="1" customWidth="1"/>
    <col min="1702" max="1702" width="33" bestFit="1" customWidth="1"/>
    <col min="1703" max="1703" width="20.88671875" bestFit="1" customWidth="1"/>
    <col min="1704" max="1704" width="22.88671875" bestFit="1" customWidth="1"/>
    <col min="1705" max="1705" width="14.109375" bestFit="1" customWidth="1"/>
    <col min="1706" max="1706" width="33" bestFit="1" customWidth="1"/>
    <col min="1707" max="1707" width="20.88671875" bestFit="1" customWidth="1"/>
    <col min="1708" max="1708" width="22.88671875" bestFit="1" customWidth="1"/>
    <col min="1709" max="1709" width="14.109375" bestFit="1" customWidth="1"/>
    <col min="1710" max="1710" width="33" bestFit="1" customWidth="1"/>
    <col min="1711" max="1711" width="20.88671875" bestFit="1" customWidth="1"/>
    <col min="1712" max="1712" width="22.88671875" bestFit="1" customWidth="1"/>
    <col min="1713" max="1713" width="14.109375" bestFit="1" customWidth="1"/>
    <col min="1714" max="1714" width="33" bestFit="1" customWidth="1"/>
    <col min="1715" max="1715" width="20.88671875" bestFit="1" customWidth="1"/>
    <col min="1716" max="1716" width="22.88671875" bestFit="1" customWidth="1"/>
    <col min="1717" max="1717" width="14.109375" bestFit="1" customWidth="1"/>
    <col min="1718" max="1718" width="33" bestFit="1" customWidth="1"/>
    <col min="1719" max="1719" width="20.88671875" bestFit="1" customWidth="1"/>
    <col min="1720" max="1720" width="22.88671875" bestFit="1" customWidth="1"/>
    <col min="1721" max="1721" width="14.109375" bestFit="1" customWidth="1"/>
    <col min="1722" max="1722" width="33" bestFit="1" customWidth="1"/>
    <col min="1723" max="1723" width="20.88671875" bestFit="1" customWidth="1"/>
    <col min="1724" max="1724" width="22.88671875" bestFit="1" customWidth="1"/>
    <col min="1725" max="1725" width="14.109375" bestFit="1" customWidth="1"/>
    <col min="1726" max="1726" width="33" bestFit="1" customWidth="1"/>
    <col min="1727" max="1727" width="20.88671875" bestFit="1" customWidth="1"/>
    <col min="1728" max="1728" width="22.88671875" bestFit="1" customWidth="1"/>
    <col min="1729" max="1729" width="14.109375" bestFit="1" customWidth="1"/>
    <col min="1730" max="1730" width="33" bestFit="1" customWidth="1"/>
    <col min="1731" max="1731" width="20.88671875" bestFit="1" customWidth="1"/>
    <col min="1732" max="1732" width="22.88671875" bestFit="1" customWidth="1"/>
    <col min="1733" max="1733" width="14.109375" bestFit="1" customWidth="1"/>
    <col min="1734" max="1734" width="33" bestFit="1" customWidth="1"/>
    <col min="1735" max="1735" width="20.88671875" bestFit="1" customWidth="1"/>
    <col min="1736" max="1736" width="22.88671875" bestFit="1" customWidth="1"/>
    <col min="1737" max="1737" width="14.109375" bestFit="1" customWidth="1"/>
    <col min="1738" max="1738" width="33" bestFit="1" customWidth="1"/>
    <col min="1739" max="1739" width="20.88671875" bestFit="1" customWidth="1"/>
    <col min="1740" max="1740" width="22.88671875" bestFit="1" customWidth="1"/>
    <col min="1741" max="1741" width="14.109375" bestFit="1" customWidth="1"/>
    <col min="1742" max="1742" width="33" bestFit="1" customWidth="1"/>
    <col min="1743" max="1743" width="20.88671875" bestFit="1" customWidth="1"/>
    <col min="1744" max="1744" width="22.88671875" bestFit="1" customWidth="1"/>
    <col min="1745" max="1745" width="14.109375" bestFit="1" customWidth="1"/>
    <col min="1746" max="1746" width="33" bestFit="1" customWidth="1"/>
    <col min="1747" max="1747" width="20.88671875" bestFit="1" customWidth="1"/>
    <col min="1748" max="1748" width="22.88671875" bestFit="1" customWidth="1"/>
    <col min="1749" max="1749" width="14.109375" bestFit="1" customWidth="1"/>
    <col min="1750" max="1750" width="33" bestFit="1" customWidth="1"/>
    <col min="1751" max="1751" width="20.88671875" bestFit="1" customWidth="1"/>
    <col min="1752" max="1752" width="22.88671875" bestFit="1" customWidth="1"/>
    <col min="1753" max="1753" width="14.109375" bestFit="1" customWidth="1"/>
    <col min="1754" max="1754" width="33" bestFit="1" customWidth="1"/>
    <col min="1755" max="1755" width="20.88671875" bestFit="1" customWidth="1"/>
    <col min="1756" max="1756" width="22.88671875" bestFit="1" customWidth="1"/>
    <col min="1757" max="1757" width="14.109375" bestFit="1" customWidth="1"/>
    <col min="1758" max="1758" width="33" bestFit="1" customWidth="1"/>
    <col min="1759" max="1759" width="20.88671875" bestFit="1" customWidth="1"/>
    <col min="1760" max="1760" width="22.88671875" bestFit="1" customWidth="1"/>
    <col min="1761" max="1761" width="14.109375" bestFit="1" customWidth="1"/>
    <col min="1762" max="1762" width="33" bestFit="1" customWidth="1"/>
    <col min="1763" max="1763" width="20.88671875" bestFit="1" customWidth="1"/>
    <col min="1764" max="1764" width="22.88671875" bestFit="1" customWidth="1"/>
    <col min="1765" max="1765" width="14.109375" bestFit="1" customWidth="1"/>
    <col min="1766" max="1766" width="33" bestFit="1" customWidth="1"/>
    <col min="1767" max="1767" width="20.88671875" bestFit="1" customWidth="1"/>
    <col min="1768" max="1768" width="22.88671875" bestFit="1" customWidth="1"/>
    <col min="1769" max="1769" width="14.109375" bestFit="1" customWidth="1"/>
    <col min="1770" max="1770" width="33" bestFit="1" customWidth="1"/>
    <col min="1771" max="1771" width="20.88671875" bestFit="1" customWidth="1"/>
    <col min="1772" max="1772" width="22.88671875" bestFit="1" customWidth="1"/>
    <col min="1773" max="1773" width="14.109375" bestFit="1" customWidth="1"/>
    <col min="1774" max="1774" width="33" bestFit="1" customWidth="1"/>
    <col min="1775" max="1775" width="20.88671875" bestFit="1" customWidth="1"/>
    <col min="1776" max="1776" width="22.88671875" bestFit="1" customWidth="1"/>
    <col min="1777" max="1777" width="14.109375" bestFit="1" customWidth="1"/>
    <col min="1778" max="1778" width="33" bestFit="1" customWidth="1"/>
    <col min="1779" max="1779" width="20.88671875" bestFit="1" customWidth="1"/>
    <col min="1780" max="1780" width="22.88671875" bestFit="1" customWidth="1"/>
    <col min="1781" max="1781" width="14.109375" bestFit="1" customWidth="1"/>
    <col min="1782" max="1782" width="33" bestFit="1" customWidth="1"/>
    <col min="1783" max="1783" width="20.88671875" bestFit="1" customWidth="1"/>
    <col min="1784" max="1784" width="22.88671875" bestFit="1" customWidth="1"/>
    <col min="1785" max="1785" width="14.109375" bestFit="1" customWidth="1"/>
    <col min="1786" max="1786" width="33" bestFit="1" customWidth="1"/>
    <col min="1787" max="1787" width="20.88671875" bestFit="1" customWidth="1"/>
    <col min="1788" max="1788" width="22.88671875" bestFit="1" customWidth="1"/>
    <col min="1789" max="1789" width="14.109375" bestFit="1" customWidth="1"/>
    <col min="1790" max="1790" width="33" bestFit="1" customWidth="1"/>
    <col min="1791" max="1791" width="20.88671875" bestFit="1" customWidth="1"/>
    <col min="1792" max="1792" width="22.88671875" bestFit="1" customWidth="1"/>
    <col min="1793" max="1793" width="14.109375" bestFit="1" customWidth="1"/>
    <col min="1794" max="1794" width="33" bestFit="1" customWidth="1"/>
    <col min="1795" max="1795" width="20.88671875" bestFit="1" customWidth="1"/>
    <col min="1796" max="1796" width="22.88671875" bestFit="1" customWidth="1"/>
    <col min="1797" max="1797" width="14.109375" bestFit="1" customWidth="1"/>
    <col min="1798" max="1798" width="33" bestFit="1" customWidth="1"/>
    <col min="1799" max="1799" width="20.88671875" bestFit="1" customWidth="1"/>
    <col min="1800" max="1800" width="22.88671875" bestFit="1" customWidth="1"/>
    <col min="1801" max="1801" width="14.109375" bestFit="1" customWidth="1"/>
    <col min="1802" max="1802" width="33" bestFit="1" customWidth="1"/>
    <col min="1803" max="1803" width="20.88671875" bestFit="1" customWidth="1"/>
    <col min="1804" max="1804" width="22.88671875" bestFit="1" customWidth="1"/>
    <col min="1805" max="1805" width="14.109375" bestFit="1" customWidth="1"/>
    <col min="1806" max="1806" width="33" bestFit="1" customWidth="1"/>
    <col min="1807" max="1807" width="20.88671875" bestFit="1" customWidth="1"/>
    <col min="1808" max="1808" width="22.88671875" bestFit="1" customWidth="1"/>
    <col min="1809" max="1809" width="14.109375" bestFit="1" customWidth="1"/>
    <col min="1810" max="1810" width="33" bestFit="1" customWidth="1"/>
    <col min="1811" max="1811" width="20.88671875" bestFit="1" customWidth="1"/>
    <col min="1812" max="1812" width="22.88671875" bestFit="1" customWidth="1"/>
    <col min="1813" max="1813" width="14.109375" bestFit="1" customWidth="1"/>
    <col min="1814" max="1814" width="33" bestFit="1" customWidth="1"/>
    <col min="1815" max="1815" width="20.88671875" bestFit="1" customWidth="1"/>
    <col min="1816" max="1816" width="22.88671875" bestFit="1" customWidth="1"/>
    <col min="1817" max="1817" width="14.109375" bestFit="1" customWidth="1"/>
    <col min="1818" max="1818" width="33" bestFit="1" customWidth="1"/>
    <col min="1819" max="1819" width="20.88671875" bestFit="1" customWidth="1"/>
    <col min="1820" max="1820" width="22.88671875" bestFit="1" customWidth="1"/>
    <col min="1821" max="1821" width="14.109375" bestFit="1" customWidth="1"/>
    <col min="1822" max="1822" width="33" bestFit="1" customWidth="1"/>
    <col min="1823" max="1823" width="20.88671875" bestFit="1" customWidth="1"/>
    <col min="1824" max="1824" width="22.88671875" bestFit="1" customWidth="1"/>
    <col min="1825" max="1825" width="14.109375" bestFit="1" customWidth="1"/>
    <col min="1826" max="1826" width="33" bestFit="1" customWidth="1"/>
    <col min="1827" max="1827" width="20.88671875" bestFit="1" customWidth="1"/>
    <col min="1828" max="1828" width="22.88671875" bestFit="1" customWidth="1"/>
    <col min="1829" max="1829" width="14.109375" bestFit="1" customWidth="1"/>
    <col min="1830" max="1830" width="33" bestFit="1" customWidth="1"/>
    <col min="1831" max="1831" width="20.88671875" bestFit="1" customWidth="1"/>
    <col min="1832" max="1832" width="22.88671875" bestFit="1" customWidth="1"/>
    <col min="1833" max="1833" width="14.109375" bestFit="1" customWidth="1"/>
    <col min="1834" max="1834" width="33" bestFit="1" customWidth="1"/>
    <col min="1835" max="1835" width="20.88671875" bestFit="1" customWidth="1"/>
    <col min="1836" max="1836" width="22.88671875" bestFit="1" customWidth="1"/>
    <col min="1837" max="1837" width="14.109375" bestFit="1" customWidth="1"/>
    <col min="1838" max="1838" width="33" bestFit="1" customWidth="1"/>
    <col min="1839" max="1839" width="20.88671875" bestFit="1" customWidth="1"/>
    <col min="1840" max="1840" width="22.88671875" bestFit="1" customWidth="1"/>
    <col min="1841" max="1841" width="14.109375" bestFit="1" customWidth="1"/>
    <col min="1842" max="1842" width="33" bestFit="1" customWidth="1"/>
    <col min="1843" max="1843" width="20.88671875" bestFit="1" customWidth="1"/>
    <col min="1844" max="1844" width="22.88671875" bestFit="1" customWidth="1"/>
    <col min="1845" max="1845" width="14.109375" bestFit="1" customWidth="1"/>
    <col min="1846" max="1846" width="33" bestFit="1" customWidth="1"/>
    <col min="1847" max="1847" width="20.88671875" bestFit="1" customWidth="1"/>
    <col min="1848" max="1848" width="22.88671875" bestFit="1" customWidth="1"/>
    <col min="1849" max="1849" width="14.109375" bestFit="1" customWidth="1"/>
    <col min="1850" max="1850" width="33" bestFit="1" customWidth="1"/>
    <col min="1851" max="1851" width="20.88671875" bestFit="1" customWidth="1"/>
    <col min="1852" max="1852" width="22.88671875" bestFit="1" customWidth="1"/>
    <col min="1853" max="1853" width="14.109375" bestFit="1" customWidth="1"/>
    <col min="1854" max="1854" width="33" bestFit="1" customWidth="1"/>
    <col min="1855" max="1855" width="20.88671875" bestFit="1" customWidth="1"/>
    <col min="1856" max="1856" width="22.88671875" bestFit="1" customWidth="1"/>
    <col min="1857" max="1857" width="14.109375" bestFit="1" customWidth="1"/>
    <col min="1858" max="1858" width="33" bestFit="1" customWidth="1"/>
    <col min="1859" max="1859" width="20.88671875" bestFit="1" customWidth="1"/>
    <col min="1860" max="1860" width="22.88671875" bestFit="1" customWidth="1"/>
    <col min="1861" max="1861" width="14.109375" bestFit="1" customWidth="1"/>
    <col min="1862" max="1862" width="33" bestFit="1" customWidth="1"/>
    <col min="1863" max="1863" width="20.88671875" bestFit="1" customWidth="1"/>
    <col min="1864" max="1864" width="22.88671875" bestFit="1" customWidth="1"/>
    <col min="1865" max="1865" width="14.109375" bestFit="1" customWidth="1"/>
    <col min="1866" max="1866" width="33" bestFit="1" customWidth="1"/>
    <col min="1867" max="1867" width="20.88671875" bestFit="1" customWidth="1"/>
    <col min="1868" max="1868" width="22.88671875" bestFit="1" customWidth="1"/>
    <col min="1869" max="1869" width="14.109375" bestFit="1" customWidth="1"/>
    <col min="1870" max="1870" width="33" bestFit="1" customWidth="1"/>
    <col min="1871" max="1871" width="20.88671875" bestFit="1" customWidth="1"/>
    <col min="1872" max="1872" width="22.88671875" bestFit="1" customWidth="1"/>
    <col min="1873" max="1873" width="14.109375" bestFit="1" customWidth="1"/>
    <col min="1874" max="1874" width="33" bestFit="1" customWidth="1"/>
    <col min="1875" max="1875" width="20.88671875" bestFit="1" customWidth="1"/>
    <col min="1876" max="1876" width="22.88671875" bestFit="1" customWidth="1"/>
    <col min="1877" max="1877" width="14.109375" bestFit="1" customWidth="1"/>
    <col min="1878" max="1878" width="33" bestFit="1" customWidth="1"/>
    <col min="1879" max="1879" width="20.88671875" bestFit="1" customWidth="1"/>
    <col min="1880" max="1880" width="22.88671875" bestFit="1" customWidth="1"/>
    <col min="1881" max="1881" width="14.109375" bestFit="1" customWidth="1"/>
    <col min="1882" max="1882" width="33" bestFit="1" customWidth="1"/>
    <col min="1883" max="1883" width="20.88671875" bestFit="1" customWidth="1"/>
    <col min="1884" max="1884" width="22.88671875" bestFit="1" customWidth="1"/>
    <col min="1885" max="1885" width="14.109375" bestFit="1" customWidth="1"/>
    <col min="1886" max="1886" width="33" bestFit="1" customWidth="1"/>
    <col min="1887" max="1887" width="20.88671875" bestFit="1" customWidth="1"/>
    <col min="1888" max="1888" width="22.88671875" bestFit="1" customWidth="1"/>
    <col min="1889" max="1889" width="14.109375" bestFit="1" customWidth="1"/>
    <col min="1890" max="1890" width="33" bestFit="1" customWidth="1"/>
    <col min="1891" max="1891" width="20.88671875" bestFit="1" customWidth="1"/>
    <col min="1892" max="1892" width="22.88671875" bestFit="1" customWidth="1"/>
    <col min="1893" max="1893" width="14.109375" bestFit="1" customWidth="1"/>
    <col min="1894" max="1894" width="33" bestFit="1" customWidth="1"/>
    <col min="1895" max="1895" width="20.88671875" bestFit="1" customWidth="1"/>
    <col min="1896" max="1896" width="22.88671875" bestFit="1" customWidth="1"/>
    <col min="1897" max="1897" width="14.109375" bestFit="1" customWidth="1"/>
    <col min="1898" max="1898" width="33" bestFit="1" customWidth="1"/>
    <col min="1899" max="1899" width="20.88671875" bestFit="1" customWidth="1"/>
    <col min="1900" max="1900" width="22.88671875" bestFit="1" customWidth="1"/>
    <col min="1901" max="1901" width="14.109375" bestFit="1" customWidth="1"/>
    <col min="1902" max="1902" width="33" bestFit="1" customWidth="1"/>
    <col min="1903" max="1903" width="20.88671875" bestFit="1" customWidth="1"/>
    <col min="1904" max="1904" width="22.88671875" bestFit="1" customWidth="1"/>
    <col min="1905" max="1905" width="14.109375" bestFit="1" customWidth="1"/>
    <col min="1906" max="1906" width="33" bestFit="1" customWidth="1"/>
    <col min="1907" max="1907" width="20.88671875" bestFit="1" customWidth="1"/>
    <col min="1908" max="1908" width="22.88671875" bestFit="1" customWidth="1"/>
    <col min="1909" max="1909" width="14.109375" bestFit="1" customWidth="1"/>
    <col min="1910" max="1910" width="33" bestFit="1" customWidth="1"/>
    <col min="1911" max="1911" width="20.88671875" bestFit="1" customWidth="1"/>
    <col min="1912" max="1912" width="22.88671875" bestFit="1" customWidth="1"/>
    <col min="1913" max="1913" width="14.109375" bestFit="1" customWidth="1"/>
    <col min="1914" max="1914" width="33" bestFit="1" customWidth="1"/>
    <col min="1915" max="1915" width="20.88671875" bestFit="1" customWidth="1"/>
    <col min="1916" max="1916" width="22.88671875" bestFit="1" customWidth="1"/>
    <col min="1917" max="1917" width="14.109375" bestFit="1" customWidth="1"/>
    <col min="1918" max="1918" width="33" bestFit="1" customWidth="1"/>
    <col min="1919" max="1919" width="20.88671875" bestFit="1" customWidth="1"/>
    <col min="1920" max="1920" width="22.88671875" bestFit="1" customWidth="1"/>
    <col min="1921" max="1921" width="14.109375" bestFit="1" customWidth="1"/>
    <col min="1922" max="1922" width="33" bestFit="1" customWidth="1"/>
    <col min="1923" max="1923" width="20.88671875" bestFit="1" customWidth="1"/>
    <col min="1924" max="1924" width="22.88671875" bestFit="1" customWidth="1"/>
    <col min="1925" max="1925" width="14.109375" bestFit="1" customWidth="1"/>
    <col min="1926" max="1926" width="33" bestFit="1" customWidth="1"/>
    <col min="1927" max="1927" width="20.88671875" bestFit="1" customWidth="1"/>
    <col min="1928" max="1928" width="22.88671875" bestFit="1" customWidth="1"/>
    <col min="1929" max="1929" width="14.109375" bestFit="1" customWidth="1"/>
    <col min="1930" max="1930" width="33" bestFit="1" customWidth="1"/>
    <col min="1931" max="1931" width="20.88671875" bestFit="1" customWidth="1"/>
    <col min="1932" max="1932" width="22.88671875" bestFit="1" customWidth="1"/>
    <col min="1933" max="1933" width="14.109375" bestFit="1" customWidth="1"/>
    <col min="1934" max="1934" width="33" bestFit="1" customWidth="1"/>
    <col min="1935" max="1935" width="20.88671875" bestFit="1" customWidth="1"/>
    <col min="1936" max="1936" width="22.88671875" bestFit="1" customWidth="1"/>
    <col min="1937" max="1937" width="14.109375" bestFit="1" customWidth="1"/>
    <col min="1938" max="1938" width="33" bestFit="1" customWidth="1"/>
    <col min="1939" max="1939" width="20.88671875" bestFit="1" customWidth="1"/>
    <col min="1940" max="1940" width="22.88671875" bestFit="1" customWidth="1"/>
    <col min="1941" max="1941" width="14.109375" bestFit="1" customWidth="1"/>
    <col min="1942" max="1942" width="33" bestFit="1" customWidth="1"/>
    <col min="1943" max="1943" width="20.88671875" bestFit="1" customWidth="1"/>
    <col min="1944" max="1944" width="22.88671875" bestFit="1" customWidth="1"/>
    <col min="1945" max="1945" width="14.109375" bestFit="1" customWidth="1"/>
    <col min="1946" max="1946" width="33" bestFit="1" customWidth="1"/>
    <col min="1947" max="1947" width="20.88671875" bestFit="1" customWidth="1"/>
    <col min="1948" max="1948" width="22.88671875" bestFit="1" customWidth="1"/>
    <col min="1949" max="1949" width="14.109375" bestFit="1" customWidth="1"/>
    <col min="1950" max="1950" width="33" bestFit="1" customWidth="1"/>
    <col min="1951" max="1951" width="20.88671875" bestFit="1" customWidth="1"/>
    <col min="1952" max="1952" width="22.88671875" bestFit="1" customWidth="1"/>
    <col min="1953" max="1953" width="14.109375" bestFit="1" customWidth="1"/>
    <col min="1954" max="1954" width="33" bestFit="1" customWidth="1"/>
    <col min="1955" max="1955" width="20.88671875" bestFit="1" customWidth="1"/>
    <col min="1956" max="1956" width="22.88671875" bestFit="1" customWidth="1"/>
    <col min="1957" max="1957" width="14.109375" bestFit="1" customWidth="1"/>
    <col min="1958" max="1958" width="33" bestFit="1" customWidth="1"/>
    <col min="1959" max="1959" width="20.88671875" bestFit="1" customWidth="1"/>
    <col min="1960" max="1960" width="22.88671875" bestFit="1" customWidth="1"/>
    <col min="1961" max="1961" width="14.109375" bestFit="1" customWidth="1"/>
    <col min="1962" max="1962" width="33" bestFit="1" customWidth="1"/>
    <col min="1963" max="1963" width="20.88671875" bestFit="1" customWidth="1"/>
    <col min="1964" max="1964" width="22.88671875" bestFit="1" customWidth="1"/>
    <col min="1965" max="1965" width="14.109375" bestFit="1" customWidth="1"/>
    <col min="1966" max="1966" width="33" bestFit="1" customWidth="1"/>
    <col min="1967" max="1967" width="20.88671875" bestFit="1" customWidth="1"/>
    <col min="1968" max="1968" width="22.88671875" bestFit="1" customWidth="1"/>
    <col min="1969" max="1969" width="14.109375" bestFit="1" customWidth="1"/>
    <col min="1970" max="1970" width="33" bestFit="1" customWidth="1"/>
    <col min="1971" max="1971" width="20.88671875" bestFit="1" customWidth="1"/>
    <col min="1972" max="1972" width="22.88671875" bestFit="1" customWidth="1"/>
    <col min="1973" max="1973" width="14.109375" bestFit="1" customWidth="1"/>
    <col min="1974" max="1974" width="33" bestFit="1" customWidth="1"/>
    <col min="1975" max="1975" width="20.88671875" bestFit="1" customWidth="1"/>
    <col min="1976" max="1976" width="22.88671875" bestFit="1" customWidth="1"/>
    <col min="1977" max="1977" width="14.109375" bestFit="1" customWidth="1"/>
    <col min="1978" max="1978" width="33" bestFit="1" customWidth="1"/>
    <col min="1979" max="1979" width="20.88671875" bestFit="1" customWidth="1"/>
    <col min="1980" max="1980" width="22.88671875" bestFit="1" customWidth="1"/>
    <col min="1981" max="1981" width="14.109375" bestFit="1" customWidth="1"/>
    <col min="1982" max="1982" width="33" bestFit="1" customWidth="1"/>
    <col min="1983" max="1983" width="20.88671875" bestFit="1" customWidth="1"/>
    <col min="1984" max="1984" width="22.88671875" bestFit="1" customWidth="1"/>
    <col min="1985" max="1985" width="14.109375" bestFit="1" customWidth="1"/>
    <col min="1986" max="1986" width="33" bestFit="1" customWidth="1"/>
    <col min="1987" max="1987" width="20.88671875" bestFit="1" customWidth="1"/>
    <col min="1988" max="1988" width="22.88671875" bestFit="1" customWidth="1"/>
    <col min="1989" max="1989" width="14.109375" bestFit="1" customWidth="1"/>
    <col min="1990" max="1990" width="33" bestFit="1" customWidth="1"/>
    <col min="1991" max="1991" width="20.88671875" bestFit="1" customWidth="1"/>
    <col min="1992" max="1992" width="22.88671875" bestFit="1" customWidth="1"/>
    <col min="1993" max="1993" width="14.109375" bestFit="1" customWidth="1"/>
    <col min="1994" max="1994" width="33" bestFit="1" customWidth="1"/>
    <col min="1995" max="1995" width="20.88671875" bestFit="1" customWidth="1"/>
    <col min="1996" max="1996" width="22.88671875" bestFit="1" customWidth="1"/>
    <col min="1997" max="1997" width="14.109375" bestFit="1" customWidth="1"/>
    <col min="1998" max="1998" width="33" bestFit="1" customWidth="1"/>
    <col min="1999" max="1999" width="20.88671875" bestFit="1" customWidth="1"/>
    <col min="2000" max="2000" width="22.88671875" bestFit="1" customWidth="1"/>
    <col min="2001" max="2001" width="14.109375" bestFit="1" customWidth="1"/>
    <col min="2002" max="2002" width="33" bestFit="1" customWidth="1"/>
    <col min="2003" max="2003" width="20.88671875" bestFit="1" customWidth="1"/>
    <col min="2004" max="2004" width="22.88671875" bestFit="1" customWidth="1"/>
    <col min="2005" max="2005" width="14.109375" bestFit="1" customWidth="1"/>
    <col min="2006" max="2006" width="33" bestFit="1" customWidth="1"/>
    <col min="2007" max="2007" width="20.88671875" bestFit="1" customWidth="1"/>
    <col min="2008" max="2008" width="22.88671875" bestFit="1" customWidth="1"/>
    <col min="2009" max="2009" width="14.109375" bestFit="1" customWidth="1"/>
    <col min="2010" max="2010" width="33" bestFit="1" customWidth="1"/>
    <col min="2011" max="2011" width="20.88671875" bestFit="1" customWidth="1"/>
    <col min="2012" max="2012" width="22.88671875" bestFit="1" customWidth="1"/>
    <col min="2013" max="2013" width="14.109375" bestFit="1" customWidth="1"/>
    <col min="2014" max="2014" width="33" bestFit="1" customWidth="1"/>
    <col min="2015" max="2015" width="20.88671875" bestFit="1" customWidth="1"/>
    <col min="2016" max="2016" width="22.88671875" bestFit="1" customWidth="1"/>
    <col min="2017" max="2017" width="14.109375" bestFit="1" customWidth="1"/>
    <col min="2018" max="2018" width="33" bestFit="1" customWidth="1"/>
    <col min="2019" max="2019" width="20.88671875" bestFit="1" customWidth="1"/>
    <col min="2020" max="2020" width="22.88671875" bestFit="1" customWidth="1"/>
    <col min="2021" max="2021" width="14.109375" bestFit="1" customWidth="1"/>
    <col min="2022" max="2022" width="33" bestFit="1" customWidth="1"/>
    <col min="2023" max="2023" width="20.88671875" bestFit="1" customWidth="1"/>
    <col min="2024" max="2024" width="22.88671875" bestFit="1" customWidth="1"/>
    <col min="2025" max="2025" width="14.109375" bestFit="1" customWidth="1"/>
    <col min="2026" max="2026" width="33" bestFit="1" customWidth="1"/>
    <col min="2027" max="2027" width="20.88671875" bestFit="1" customWidth="1"/>
    <col min="2028" max="2028" width="22.88671875" bestFit="1" customWidth="1"/>
    <col min="2029" max="2029" width="14.109375" bestFit="1" customWidth="1"/>
    <col min="2030" max="2030" width="33" bestFit="1" customWidth="1"/>
    <col min="2031" max="2031" width="20.88671875" bestFit="1" customWidth="1"/>
    <col min="2032" max="2032" width="22.88671875" bestFit="1" customWidth="1"/>
    <col min="2033" max="2033" width="14.109375" bestFit="1" customWidth="1"/>
    <col min="2034" max="2034" width="33" bestFit="1" customWidth="1"/>
    <col min="2035" max="2035" width="20.88671875" bestFit="1" customWidth="1"/>
    <col min="2036" max="2036" width="22.88671875" bestFit="1" customWidth="1"/>
    <col min="2037" max="2037" width="14.109375" bestFit="1" customWidth="1"/>
    <col min="2038" max="2038" width="33" bestFit="1" customWidth="1"/>
    <col min="2039" max="2039" width="20.88671875" bestFit="1" customWidth="1"/>
    <col min="2040" max="2040" width="22.88671875" bestFit="1" customWidth="1"/>
    <col min="2041" max="2041" width="14.109375" bestFit="1" customWidth="1"/>
    <col min="2042" max="2042" width="33" bestFit="1" customWidth="1"/>
    <col min="2043" max="2043" width="20.88671875" bestFit="1" customWidth="1"/>
    <col min="2044" max="2044" width="22.88671875" bestFit="1" customWidth="1"/>
    <col min="2045" max="2045" width="14.109375" bestFit="1" customWidth="1"/>
    <col min="2046" max="2046" width="33" bestFit="1" customWidth="1"/>
    <col min="2047" max="2047" width="20.88671875" bestFit="1" customWidth="1"/>
    <col min="2048" max="2048" width="22.88671875" bestFit="1" customWidth="1"/>
    <col min="2049" max="2049" width="14.109375" bestFit="1" customWidth="1"/>
    <col min="2050" max="2050" width="33" bestFit="1" customWidth="1"/>
    <col min="2051" max="2051" width="20.88671875" bestFit="1" customWidth="1"/>
    <col min="2052" max="2052" width="22.88671875" bestFit="1" customWidth="1"/>
    <col min="2053" max="2053" width="14.109375" bestFit="1" customWidth="1"/>
    <col min="2054" max="2054" width="33" bestFit="1" customWidth="1"/>
    <col min="2055" max="2055" width="20.88671875" bestFit="1" customWidth="1"/>
    <col min="2056" max="2056" width="22.88671875" bestFit="1" customWidth="1"/>
    <col min="2057" max="2057" width="14.109375" bestFit="1" customWidth="1"/>
    <col min="2058" max="2058" width="33" bestFit="1" customWidth="1"/>
    <col min="2059" max="2059" width="20.88671875" bestFit="1" customWidth="1"/>
    <col min="2060" max="2060" width="22.88671875" bestFit="1" customWidth="1"/>
    <col min="2061" max="2061" width="14.109375" bestFit="1" customWidth="1"/>
    <col min="2062" max="2062" width="33" bestFit="1" customWidth="1"/>
    <col min="2063" max="2063" width="20.88671875" bestFit="1" customWidth="1"/>
    <col min="2064" max="2064" width="22.88671875" bestFit="1" customWidth="1"/>
    <col min="2065" max="2065" width="14.109375" bestFit="1" customWidth="1"/>
    <col min="2066" max="2066" width="33" bestFit="1" customWidth="1"/>
    <col min="2067" max="2067" width="20.88671875" bestFit="1" customWidth="1"/>
    <col min="2068" max="2068" width="22.88671875" bestFit="1" customWidth="1"/>
    <col min="2069" max="2069" width="14.109375" bestFit="1" customWidth="1"/>
    <col min="2070" max="2070" width="33" bestFit="1" customWidth="1"/>
    <col min="2071" max="2071" width="20.88671875" bestFit="1" customWidth="1"/>
    <col min="2072" max="2072" width="22.88671875" bestFit="1" customWidth="1"/>
    <col min="2073" max="2073" width="14.109375" bestFit="1" customWidth="1"/>
    <col min="2074" max="2074" width="33" bestFit="1" customWidth="1"/>
    <col min="2075" max="2075" width="20.88671875" bestFit="1" customWidth="1"/>
    <col min="2076" max="2076" width="22.88671875" bestFit="1" customWidth="1"/>
    <col min="2077" max="2077" width="14.109375" bestFit="1" customWidth="1"/>
    <col min="2078" max="2078" width="33" bestFit="1" customWidth="1"/>
    <col min="2079" max="2079" width="20.88671875" bestFit="1" customWidth="1"/>
    <col min="2080" max="2080" width="22.88671875" bestFit="1" customWidth="1"/>
    <col min="2081" max="2081" width="14.109375" bestFit="1" customWidth="1"/>
    <col min="2082" max="2082" width="33" bestFit="1" customWidth="1"/>
    <col min="2083" max="2083" width="20.88671875" bestFit="1" customWidth="1"/>
    <col min="2084" max="2084" width="22.88671875" bestFit="1" customWidth="1"/>
    <col min="2085" max="2085" width="14.109375" bestFit="1" customWidth="1"/>
    <col min="2086" max="2086" width="33" bestFit="1" customWidth="1"/>
    <col min="2087" max="2087" width="20.88671875" bestFit="1" customWidth="1"/>
    <col min="2088" max="2088" width="22.88671875" bestFit="1" customWidth="1"/>
    <col min="2089" max="2089" width="14.109375" bestFit="1" customWidth="1"/>
    <col min="2090" max="2090" width="33" bestFit="1" customWidth="1"/>
    <col min="2091" max="2091" width="20.88671875" bestFit="1" customWidth="1"/>
    <col min="2092" max="2092" width="22.88671875" bestFit="1" customWidth="1"/>
    <col min="2093" max="2093" width="14.109375" bestFit="1" customWidth="1"/>
    <col min="2094" max="2094" width="33" bestFit="1" customWidth="1"/>
    <col min="2095" max="2095" width="20.88671875" bestFit="1" customWidth="1"/>
    <col min="2096" max="2096" width="22.88671875" bestFit="1" customWidth="1"/>
    <col min="2097" max="2097" width="14.109375" bestFit="1" customWidth="1"/>
    <col min="2098" max="2098" width="33" bestFit="1" customWidth="1"/>
    <col min="2099" max="2099" width="20.88671875" bestFit="1" customWidth="1"/>
    <col min="2100" max="2100" width="22.88671875" bestFit="1" customWidth="1"/>
    <col min="2101" max="2101" width="14.109375" bestFit="1" customWidth="1"/>
    <col min="2102" max="2102" width="33" bestFit="1" customWidth="1"/>
    <col min="2103" max="2103" width="20.88671875" bestFit="1" customWidth="1"/>
    <col min="2104" max="2104" width="22.88671875" bestFit="1" customWidth="1"/>
    <col min="2105" max="2105" width="14.109375" bestFit="1" customWidth="1"/>
    <col min="2106" max="2106" width="33" bestFit="1" customWidth="1"/>
    <col min="2107" max="2107" width="20.88671875" bestFit="1" customWidth="1"/>
    <col min="2108" max="2108" width="22.88671875" bestFit="1" customWidth="1"/>
    <col min="2109" max="2109" width="14.109375" bestFit="1" customWidth="1"/>
    <col min="2110" max="2110" width="33" bestFit="1" customWidth="1"/>
    <col min="2111" max="2111" width="20.88671875" bestFit="1" customWidth="1"/>
    <col min="2112" max="2112" width="22.88671875" bestFit="1" customWidth="1"/>
    <col min="2113" max="2113" width="14.109375" bestFit="1" customWidth="1"/>
    <col min="2114" max="2114" width="33" bestFit="1" customWidth="1"/>
    <col min="2115" max="2115" width="20.88671875" bestFit="1" customWidth="1"/>
    <col min="2116" max="2116" width="22.88671875" bestFit="1" customWidth="1"/>
    <col min="2117" max="2117" width="14.109375" bestFit="1" customWidth="1"/>
    <col min="2118" max="2118" width="33" bestFit="1" customWidth="1"/>
    <col min="2119" max="2119" width="20.88671875" bestFit="1" customWidth="1"/>
    <col min="2120" max="2120" width="22.88671875" bestFit="1" customWidth="1"/>
    <col min="2121" max="2121" width="14.109375" bestFit="1" customWidth="1"/>
    <col min="2122" max="2122" width="33" bestFit="1" customWidth="1"/>
    <col min="2123" max="2123" width="20.88671875" bestFit="1" customWidth="1"/>
    <col min="2124" max="2124" width="22.88671875" bestFit="1" customWidth="1"/>
    <col min="2125" max="2125" width="14.109375" bestFit="1" customWidth="1"/>
    <col min="2126" max="2126" width="33" bestFit="1" customWidth="1"/>
    <col min="2127" max="2127" width="20.88671875" bestFit="1" customWidth="1"/>
    <col min="2128" max="2128" width="22.88671875" bestFit="1" customWidth="1"/>
    <col min="2129" max="2129" width="14.109375" bestFit="1" customWidth="1"/>
    <col min="2130" max="2130" width="33" bestFit="1" customWidth="1"/>
    <col min="2131" max="2131" width="20.88671875" bestFit="1" customWidth="1"/>
    <col min="2132" max="2132" width="22.88671875" bestFit="1" customWidth="1"/>
    <col min="2133" max="2133" width="14.109375" bestFit="1" customWidth="1"/>
    <col min="2134" max="2134" width="33" bestFit="1" customWidth="1"/>
    <col min="2135" max="2135" width="20.88671875" bestFit="1" customWidth="1"/>
    <col min="2136" max="2136" width="22.88671875" bestFit="1" customWidth="1"/>
    <col min="2137" max="2137" width="14.109375" bestFit="1" customWidth="1"/>
    <col min="2138" max="2138" width="33" bestFit="1" customWidth="1"/>
    <col min="2139" max="2139" width="20.88671875" bestFit="1" customWidth="1"/>
    <col min="2140" max="2140" width="22.88671875" bestFit="1" customWidth="1"/>
    <col min="2141" max="2141" width="14.109375" bestFit="1" customWidth="1"/>
    <col min="2142" max="2142" width="33" bestFit="1" customWidth="1"/>
    <col min="2143" max="2143" width="20.88671875" bestFit="1" customWidth="1"/>
    <col min="2144" max="2144" width="22.88671875" bestFit="1" customWidth="1"/>
    <col min="2145" max="2145" width="14.109375" bestFit="1" customWidth="1"/>
    <col min="2146" max="2146" width="33" bestFit="1" customWidth="1"/>
    <col min="2147" max="2147" width="20.88671875" bestFit="1" customWidth="1"/>
    <col min="2148" max="2148" width="22.88671875" bestFit="1" customWidth="1"/>
    <col min="2149" max="2149" width="14.109375" bestFit="1" customWidth="1"/>
    <col min="2150" max="2150" width="33" bestFit="1" customWidth="1"/>
    <col min="2151" max="2151" width="20.88671875" bestFit="1" customWidth="1"/>
    <col min="2152" max="2152" width="22.88671875" bestFit="1" customWidth="1"/>
    <col min="2153" max="2153" width="14.109375" bestFit="1" customWidth="1"/>
    <col min="2154" max="2154" width="33" bestFit="1" customWidth="1"/>
    <col min="2155" max="2155" width="20.88671875" bestFit="1" customWidth="1"/>
    <col min="2156" max="2156" width="22.88671875" bestFit="1" customWidth="1"/>
    <col min="2157" max="2157" width="14.109375" bestFit="1" customWidth="1"/>
    <col min="2158" max="2158" width="33" bestFit="1" customWidth="1"/>
    <col min="2159" max="2159" width="20.88671875" bestFit="1" customWidth="1"/>
    <col min="2160" max="2160" width="22.88671875" bestFit="1" customWidth="1"/>
    <col min="2161" max="2161" width="14.109375" bestFit="1" customWidth="1"/>
    <col min="2162" max="2162" width="33" bestFit="1" customWidth="1"/>
    <col min="2163" max="2163" width="20.88671875" bestFit="1" customWidth="1"/>
    <col min="2164" max="2164" width="22.88671875" bestFit="1" customWidth="1"/>
    <col min="2165" max="2165" width="14.109375" bestFit="1" customWidth="1"/>
    <col min="2166" max="2166" width="33" bestFit="1" customWidth="1"/>
    <col min="2167" max="2167" width="20.88671875" bestFit="1" customWidth="1"/>
    <col min="2168" max="2168" width="22.88671875" bestFit="1" customWidth="1"/>
    <col min="2169" max="2169" width="14.109375" bestFit="1" customWidth="1"/>
    <col min="2170" max="2170" width="33" bestFit="1" customWidth="1"/>
    <col min="2171" max="2171" width="20.88671875" bestFit="1" customWidth="1"/>
    <col min="2172" max="2172" width="22.88671875" bestFit="1" customWidth="1"/>
    <col min="2173" max="2173" width="14.109375" bestFit="1" customWidth="1"/>
    <col min="2174" max="2174" width="33" bestFit="1" customWidth="1"/>
    <col min="2175" max="2175" width="20.88671875" bestFit="1" customWidth="1"/>
    <col min="2176" max="2176" width="22.88671875" bestFit="1" customWidth="1"/>
    <col min="2177" max="2177" width="14.109375" bestFit="1" customWidth="1"/>
    <col min="2178" max="2178" width="33" bestFit="1" customWidth="1"/>
    <col min="2179" max="2179" width="20.88671875" bestFit="1" customWidth="1"/>
    <col min="2180" max="2180" width="22.88671875" bestFit="1" customWidth="1"/>
    <col min="2181" max="2181" width="14.109375" bestFit="1" customWidth="1"/>
    <col min="2182" max="2182" width="33" bestFit="1" customWidth="1"/>
    <col min="2183" max="2183" width="20.88671875" bestFit="1" customWidth="1"/>
    <col min="2184" max="2184" width="22.88671875" bestFit="1" customWidth="1"/>
    <col min="2185" max="2185" width="14.109375" bestFit="1" customWidth="1"/>
    <col min="2186" max="2186" width="33" bestFit="1" customWidth="1"/>
    <col min="2187" max="2187" width="20.88671875" bestFit="1" customWidth="1"/>
    <col min="2188" max="2188" width="22.88671875" bestFit="1" customWidth="1"/>
    <col min="2189" max="2189" width="14.109375" bestFit="1" customWidth="1"/>
    <col min="2190" max="2190" width="33" bestFit="1" customWidth="1"/>
    <col min="2191" max="2191" width="20.88671875" bestFit="1" customWidth="1"/>
    <col min="2192" max="2192" width="22.88671875" bestFit="1" customWidth="1"/>
    <col min="2193" max="2193" width="14.109375" bestFit="1" customWidth="1"/>
    <col min="2194" max="2194" width="33" bestFit="1" customWidth="1"/>
    <col min="2195" max="2195" width="20.88671875" bestFit="1" customWidth="1"/>
    <col min="2196" max="2196" width="22.88671875" bestFit="1" customWidth="1"/>
    <col min="2197" max="2197" width="14.109375" bestFit="1" customWidth="1"/>
    <col min="2198" max="2198" width="33" bestFit="1" customWidth="1"/>
    <col min="2199" max="2199" width="20.88671875" bestFit="1" customWidth="1"/>
    <col min="2200" max="2200" width="22.88671875" bestFit="1" customWidth="1"/>
    <col min="2201" max="2201" width="14.109375" bestFit="1" customWidth="1"/>
    <col min="2202" max="2202" width="33" bestFit="1" customWidth="1"/>
    <col min="2203" max="2203" width="20.88671875" bestFit="1" customWidth="1"/>
    <col min="2204" max="2204" width="22.88671875" bestFit="1" customWidth="1"/>
    <col min="2205" max="2205" width="14.109375" bestFit="1" customWidth="1"/>
    <col min="2206" max="2206" width="33" bestFit="1" customWidth="1"/>
    <col min="2207" max="2207" width="20.88671875" bestFit="1" customWidth="1"/>
    <col min="2208" max="2208" width="22.88671875" bestFit="1" customWidth="1"/>
    <col min="2209" max="2209" width="14.109375" bestFit="1" customWidth="1"/>
    <col min="2210" max="2210" width="33" bestFit="1" customWidth="1"/>
    <col min="2211" max="2211" width="20.88671875" bestFit="1" customWidth="1"/>
    <col min="2212" max="2212" width="22.88671875" bestFit="1" customWidth="1"/>
    <col min="2213" max="2213" width="14.109375" bestFit="1" customWidth="1"/>
    <col min="2214" max="2214" width="33" bestFit="1" customWidth="1"/>
    <col min="2215" max="2215" width="20.88671875" bestFit="1" customWidth="1"/>
    <col min="2216" max="2216" width="22.88671875" bestFit="1" customWidth="1"/>
    <col min="2217" max="2217" width="14.109375" bestFit="1" customWidth="1"/>
    <col min="2218" max="2218" width="33" bestFit="1" customWidth="1"/>
    <col min="2219" max="2219" width="20.88671875" bestFit="1" customWidth="1"/>
    <col min="2220" max="2220" width="22.88671875" bestFit="1" customWidth="1"/>
    <col min="2221" max="2221" width="14.109375" bestFit="1" customWidth="1"/>
    <col min="2222" max="2222" width="33" bestFit="1" customWidth="1"/>
    <col min="2223" max="2223" width="20.88671875" bestFit="1" customWidth="1"/>
    <col min="2224" max="2224" width="22.88671875" bestFit="1" customWidth="1"/>
    <col min="2225" max="2225" width="14.109375" bestFit="1" customWidth="1"/>
    <col min="2226" max="2226" width="33" bestFit="1" customWidth="1"/>
    <col min="2227" max="2227" width="20.88671875" bestFit="1" customWidth="1"/>
    <col min="2228" max="2228" width="22.88671875" bestFit="1" customWidth="1"/>
    <col min="2229" max="2229" width="14.109375" bestFit="1" customWidth="1"/>
    <col min="2230" max="2230" width="33" bestFit="1" customWidth="1"/>
    <col min="2231" max="2231" width="20.88671875" bestFit="1" customWidth="1"/>
    <col min="2232" max="2232" width="22.88671875" bestFit="1" customWidth="1"/>
    <col min="2233" max="2233" width="14.109375" bestFit="1" customWidth="1"/>
    <col min="2234" max="2234" width="33" bestFit="1" customWidth="1"/>
    <col min="2235" max="2235" width="20.88671875" bestFit="1" customWidth="1"/>
    <col min="2236" max="2236" width="22.88671875" bestFit="1" customWidth="1"/>
    <col min="2237" max="2237" width="14.109375" bestFit="1" customWidth="1"/>
    <col min="2238" max="2238" width="33" bestFit="1" customWidth="1"/>
    <col min="2239" max="2239" width="20.88671875" bestFit="1" customWidth="1"/>
    <col min="2240" max="2240" width="22.88671875" bestFit="1" customWidth="1"/>
    <col min="2241" max="2241" width="14.109375" bestFit="1" customWidth="1"/>
    <col min="2242" max="2242" width="33" bestFit="1" customWidth="1"/>
    <col min="2243" max="2243" width="20.88671875" bestFit="1" customWidth="1"/>
    <col min="2244" max="2244" width="22.88671875" bestFit="1" customWidth="1"/>
    <col min="2245" max="2245" width="14.109375" bestFit="1" customWidth="1"/>
    <col min="2246" max="2246" width="33" bestFit="1" customWidth="1"/>
    <col min="2247" max="2247" width="20.88671875" bestFit="1" customWidth="1"/>
    <col min="2248" max="2248" width="22.88671875" bestFit="1" customWidth="1"/>
    <col min="2249" max="2249" width="14.109375" bestFit="1" customWidth="1"/>
    <col min="2250" max="2250" width="33" bestFit="1" customWidth="1"/>
    <col min="2251" max="2251" width="20.88671875" bestFit="1" customWidth="1"/>
    <col min="2252" max="2252" width="22.88671875" bestFit="1" customWidth="1"/>
    <col min="2253" max="2253" width="14.109375" bestFit="1" customWidth="1"/>
    <col min="2254" max="2254" width="33" bestFit="1" customWidth="1"/>
    <col min="2255" max="2255" width="20.88671875" bestFit="1" customWidth="1"/>
    <col min="2256" max="2256" width="22.88671875" bestFit="1" customWidth="1"/>
    <col min="2257" max="2257" width="14.109375" bestFit="1" customWidth="1"/>
    <col min="2258" max="2258" width="33" bestFit="1" customWidth="1"/>
    <col min="2259" max="2259" width="20.88671875" bestFit="1" customWidth="1"/>
    <col min="2260" max="2260" width="22.88671875" bestFit="1" customWidth="1"/>
    <col min="2261" max="2261" width="14.109375" bestFit="1" customWidth="1"/>
    <col min="2262" max="2262" width="33" bestFit="1" customWidth="1"/>
    <col min="2263" max="2263" width="20.88671875" bestFit="1" customWidth="1"/>
    <col min="2264" max="2264" width="22.88671875" bestFit="1" customWidth="1"/>
    <col min="2265" max="2265" width="14.109375" bestFit="1" customWidth="1"/>
    <col min="2266" max="2266" width="33" bestFit="1" customWidth="1"/>
    <col min="2267" max="2267" width="20.88671875" bestFit="1" customWidth="1"/>
    <col min="2268" max="2268" width="22.88671875" bestFit="1" customWidth="1"/>
    <col min="2269" max="2269" width="14.109375" bestFit="1" customWidth="1"/>
    <col min="2270" max="2270" width="33" bestFit="1" customWidth="1"/>
    <col min="2271" max="2271" width="20.88671875" bestFit="1" customWidth="1"/>
    <col min="2272" max="2272" width="22.88671875" bestFit="1" customWidth="1"/>
    <col min="2273" max="2273" width="14.109375" bestFit="1" customWidth="1"/>
    <col min="2274" max="2274" width="33" bestFit="1" customWidth="1"/>
    <col min="2275" max="2275" width="20.88671875" bestFit="1" customWidth="1"/>
    <col min="2276" max="2276" width="22.88671875" bestFit="1" customWidth="1"/>
    <col min="2277" max="2277" width="14.109375" bestFit="1" customWidth="1"/>
    <col min="2278" max="2278" width="33" bestFit="1" customWidth="1"/>
    <col min="2279" max="2279" width="20.88671875" bestFit="1" customWidth="1"/>
    <col min="2280" max="2280" width="22.88671875" bestFit="1" customWidth="1"/>
    <col min="2281" max="2281" width="14.109375" bestFit="1" customWidth="1"/>
    <col min="2282" max="2282" width="33" bestFit="1" customWidth="1"/>
    <col min="2283" max="2283" width="20.88671875" bestFit="1" customWidth="1"/>
    <col min="2284" max="2284" width="22.88671875" bestFit="1" customWidth="1"/>
    <col min="2285" max="2285" width="14.109375" bestFit="1" customWidth="1"/>
    <col min="2286" max="2286" width="33" bestFit="1" customWidth="1"/>
    <col min="2287" max="2287" width="20.88671875" bestFit="1" customWidth="1"/>
    <col min="2288" max="2288" width="22.88671875" bestFit="1" customWidth="1"/>
    <col min="2289" max="2289" width="14.109375" bestFit="1" customWidth="1"/>
    <col min="2290" max="2290" width="33" bestFit="1" customWidth="1"/>
    <col min="2291" max="2291" width="20.88671875" bestFit="1" customWidth="1"/>
    <col min="2292" max="2292" width="22.88671875" bestFit="1" customWidth="1"/>
    <col min="2293" max="2293" width="14.109375" bestFit="1" customWidth="1"/>
    <col min="2294" max="2294" width="33" bestFit="1" customWidth="1"/>
    <col min="2295" max="2295" width="20.88671875" bestFit="1" customWidth="1"/>
    <col min="2296" max="2296" width="22.88671875" bestFit="1" customWidth="1"/>
    <col min="2297" max="2297" width="14.109375" bestFit="1" customWidth="1"/>
    <col min="2298" max="2298" width="33" bestFit="1" customWidth="1"/>
    <col min="2299" max="2299" width="20.88671875" bestFit="1" customWidth="1"/>
    <col min="2300" max="2300" width="22.88671875" bestFit="1" customWidth="1"/>
    <col min="2301" max="2301" width="14.109375" bestFit="1" customWidth="1"/>
    <col min="2302" max="2302" width="33" bestFit="1" customWidth="1"/>
    <col min="2303" max="2303" width="20.88671875" bestFit="1" customWidth="1"/>
    <col min="2304" max="2304" width="22.88671875" bestFit="1" customWidth="1"/>
    <col min="2305" max="2305" width="14.109375" bestFit="1" customWidth="1"/>
    <col min="2306" max="2306" width="33" bestFit="1" customWidth="1"/>
    <col min="2307" max="2307" width="20.88671875" bestFit="1" customWidth="1"/>
    <col min="2308" max="2308" width="22.88671875" bestFit="1" customWidth="1"/>
    <col min="2309" max="2309" width="14.109375" bestFit="1" customWidth="1"/>
    <col min="2310" max="2310" width="33" bestFit="1" customWidth="1"/>
    <col min="2311" max="2311" width="20.88671875" bestFit="1" customWidth="1"/>
    <col min="2312" max="2312" width="22.88671875" bestFit="1" customWidth="1"/>
    <col min="2313" max="2313" width="14.109375" bestFit="1" customWidth="1"/>
    <col min="2314" max="2314" width="33" bestFit="1" customWidth="1"/>
    <col min="2315" max="2315" width="20.88671875" bestFit="1" customWidth="1"/>
    <col min="2316" max="2316" width="22.88671875" bestFit="1" customWidth="1"/>
    <col min="2317" max="2317" width="14.109375" bestFit="1" customWidth="1"/>
    <col min="2318" max="2318" width="33" bestFit="1" customWidth="1"/>
    <col min="2319" max="2319" width="20.88671875" bestFit="1" customWidth="1"/>
    <col min="2320" max="2320" width="22.88671875" bestFit="1" customWidth="1"/>
    <col min="2321" max="2321" width="14.109375" bestFit="1" customWidth="1"/>
    <col min="2322" max="2322" width="33" bestFit="1" customWidth="1"/>
    <col min="2323" max="2323" width="20.88671875" bestFit="1" customWidth="1"/>
    <col min="2324" max="2324" width="22.88671875" bestFit="1" customWidth="1"/>
    <col min="2325" max="2325" width="14.109375" bestFit="1" customWidth="1"/>
    <col min="2326" max="2326" width="33" bestFit="1" customWidth="1"/>
    <col min="2327" max="2327" width="20.88671875" bestFit="1" customWidth="1"/>
    <col min="2328" max="2328" width="22.88671875" bestFit="1" customWidth="1"/>
    <col min="2329" max="2329" width="14.109375" bestFit="1" customWidth="1"/>
    <col min="2330" max="2330" width="33" bestFit="1" customWidth="1"/>
    <col min="2331" max="2331" width="20.88671875" bestFit="1" customWidth="1"/>
    <col min="2332" max="2332" width="22.88671875" bestFit="1" customWidth="1"/>
    <col min="2333" max="2333" width="14.109375" bestFit="1" customWidth="1"/>
    <col min="2334" max="2334" width="33" bestFit="1" customWidth="1"/>
    <col min="2335" max="2335" width="20.88671875" bestFit="1" customWidth="1"/>
    <col min="2336" max="2336" width="22.88671875" bestFit="1" customWidth="1"/>
    <col min="2337" max="2337" width="14.109375" bestFit="1" customWidth="1"/>
    <col min="2338" max="2338" width="33" bestFit="1" customWidth="1"/>
    <col min="2339" max="2339" width="20.88671875" bestFit="1" customWidth="1"/>
    <col min="2340" max="2340" width="22.88671875" bestFit="1" customWidth="1"/>
    <col min="2341" max="2341" width="14.109375" bestFit="1" customWidth="1"/>
    <col min="2342" max="2342" width="33" bestFit="1" customWidth="1"/>
    <col min="2343" max="2343" width="20.88671875" bestFit="1" customWidth="1"/>
    <col min="2344" max="2344" width="22.88671875" bestFit="1" customWidth="1"/>
    <col min="2345" max="2345" width="14.109375" bestFit="1" customWidth="1"/>
    <col min="2346" max="2346" width="33" bestFit="1" customWidth="1"/>
    <col min="2347" max="2347" width="20.88671875" bestFit="1" customWidth="1"/>
    <col min="2348" max="2348" width="22.88671875" bestFit="1" customWidth="1"/>
    <col min="2349" max="2349" width="14.109375" bestFit="1" customWidth="1"/>
    <col min="2350" max="2350" width="33" bestFit="1" customWidth="1"/>
    <col min="2351" max="2351" width="20.88671875" bestFit="1" customWidth="1"/>
    <col min="2352" max="2352" width="22.88671875" bestFit="1" customWidth="1"/>
    <col min="2353" max="2353" width="14.109375" bestFit="1" customWidth="1"/>
    <col min="2354" max="2354" width="33" bestFit="1" customWidth="1"/>
    <col min="2355" max="2355" width="20.88671875" bestFit="1" customWidth="1"/>
    <col min="2356" max="2356" width="22.88671875" bestFit="1" customWidth="1"/>
    <col min="2357" max="2357" width="14.109375" bestFit="1" customWidth="1"/>
    <col min="2358" max="2358" width="33" bestFit="1" customWidth="1"/>
    <col min="2359" max="2359" width="20.88671875" bestFit="1" customWidth="1"/>
    <col min="2360" max="2360" width="22.88671875" bestFit="1" customWidth="1"/>
    <col min="2361" max="2361" width="14.109375" bestFit="1" customWidth="1"/>
    <col min="2362" max="2362" width="33" bestFit="1" customWidth="1"/>
    <col min="2363" max="2363" width="20.88671875" bestFit="1" customWidth="1"/>
    <col min="2364" max="2364" width="22.88671875" bestFit="1" customWidth="1"/>
    <col min="2365" max="2365" width="14.109375" bestFit="1" customWidth="1"/>
    <col min="2366" max="2366" width="33" bestFit="1" customWidth="1"/>
    <col min="2367" max="2367" width="20.88671875" bestFit="1" customWidth="1"/>
    <col min="2368" max="2368" width="22.88671875" bestFit="1" customWidth="1"/>
    <col min="2369" max="2369" width="14.109375" bestFit="1" customWidth="1"/>
    <col min="2370" max="2370" width="33" bestFit="1" customWidth="1"/>
    <col min="2371" max="2371" width="20.88671875" bestFit="1" customWidth="1"/>
    <col min="2372" max="2372" width="22.88671875" bestFit="1" customWidth="1"/>
    <col min="2373" max="2373" width="14.109375" bestFit="1" customWidth="1"/>
    <col min="2374" max="2374" width="33" bestFit="1" customWidth="1"/>
    <col min="2375" max="2375" width="20.88671875" bestFit="1" customWidth="1"/>
    <col min="2376" max="2376" width="22.88671875" bestFit="1" customWidth="1"/>
    <col min="2377" max="2377" width="14.109375" bestFit="1" customWidth="1"/>
    <col min="2378" max="2378" width="33" bestFit="1" customWidth="1"/>
    <col min="2379" max="2379" width="20.88671875" bestFit="1" customWidth="1"/>
    <col min="2380" max="2380" width="22.88671875" bestFit="1" customWidth="1"/>
    <col min="2381" max="2381" width="14.109375" bestFit="1" customWidth="1"/>
    <col min="2382" max="2382" width="33" bestFit="1" customWidth="1"/>
    <col min="2383" max="2383" width="20.88671875" bestFit="1" customWidth="1"/>
    <col min="2384" max="2384" width="22.88671875" bestFit="1" customWidth="1"/>
    <col min="2385" max="2385" width="14.109375" bestFit="1" customWidth="1"/>
    <col min="2386" max="2386" width="33" bestFit="1" customWidth="1"/>
    <col min="2387" max="2387" width="20.88671875" bestFit="1" customWidth="1"/>
    <col min="2388" max="2388" width="22.88671875" bestFit="1" customWidth="1"/>
    <col min="2389" max="2389" width="14.109375" bestFit="1" customWidth="1"/>
    <col min="2390" max="2390" width="33" bestFit="1" customWidth="1"/>
    <col min="2391" max="2391" width="20.88671875" bestFit="1" customWidth="1"/>
    <col min="2392" max="2392" width="22.88671875" bestFit="1" customWidth="1"/>
    <col min="2393" max="2393" width="14.109375" bestFit="1" customWidth="1"/>
    <col min="2394" max="2394" width="33" bestFit="1" customWidth="1"/>
    <col min="2395" max="2395" width="20.88671875" bestFit="1" customWidth="1"/>
    <col min="2396" max="2396" width="22.88671875" bestFit="1" customWidth="1"/>
    <col min="2397" max="2397" width="14.109375" bestFit="1" customWidth="1"/>
    <col min="2398" max="2398" width="33" bestFit="1" customWidth="1"/>
    <col min="2399" max="2399" width="20.88671875" bestFit="1" customWidth="1"/>
    <col min="2400" max="2400" width="22.88671875" bestFit="1" customWidth="1"/>
    <col min="2401" max="2401" width="14.109375" bestFit="1" customWidth="1"/>
    <col min="2402" max="2402" width="33" bestFit="1" customWidth="1"/>
    <col min="2403" max="2403" width="20.88671875" bestFit="1" customWidth="1"/>
    <col min="2404" max="2404" width="22.88671875" bestFit="1" customWidth="1"/>
    <col min="2405" max="2405" width="14.109375" bestFit="1" customWidth="1"/>
    <col min="2406" max="2406" width="33" bestFit="1" customWidth="1"/>
    <col min="2407" max="2407" width="20.88671875" bestFit="1" customWidth="1"/>
    <col min="2408" max="2408" width="22.88671875" bestFit="1" customWidth="1"/>
    <col min="2409" max="2409" width="14.109375" bestFit="1" customWidth="1"/>
    <col min="2410" max="2410" width="33" bestFit="1" customWidth="1"/>
    <col min="2411" max="2411" width="20.88671875" bestFit="1" customWidth="1"/>
    <col min="2412" max="2412" width="22.88671875" bestFit="1" customWidth="1"/>
    <col min="2413" max="2413" width="14.109375" bestFit="1" customWidth="1"/>
    <col min="2414" max="2414" width="33" bestFit="1" customWidth="1"/>
    <col min="2415" max="2415" width="20.88671875" bestFit="1" customWidth="1"/>
    <col min="2416" max="2416" width="22.88671875" bestFit="1" customWidth="1"/>
    <col min="2417" max="2417" width="14.109375" bestFit="1" customWidth="1"/>
    <col min="2418" max="2418" width="33" bestFit="1" customWidth="1"/>
    <col min="2419" max="2419" width="20.88671875" bestFit="1" customWidth="1"/>
    <col min="2420" max="2420" width="22.88671875" bestFit="1" customWidth="1"/>
    <col min="2421" max="2421" width="14.109375" bestFit="1" customWidth="1"/>
    <col min="2422" max="2422" width="33" bestFit="1" customWidth="1"/>
    <col min="2423" max="2423" width="20.88671875" bestFit="1" customWidth="1"/>
    <col min="2424" max="2424" width="22.88671875" bestFit="1" customWidth="1"/>
    <col min="2425" max="2425" width="14.109375" bestFit="1" customWidth="1"/>
    <col min="2426" max="2426" width="33" bestFit="1" customWidth="1"/>
    <col min="2427" max="2427" width="20.88671875" bestFit="1" customWidth="1"/>
    <col min="2428" max="2428" width="22.88671875" bestFit="1" customWidth="1"/>
    <col min="2429" max="2429" width="14.109375" bestFit="1" customWidth="1"/>
    <col min="2430" max="2430" width="33" bestFit="1" customWidth="1"/>
    <col min="2431" max="2431" width="20.88671875" bestFit="1" customWidth="1"/>
    <col min="2432" max="2432" width="22.88671875" bestFit="1" customWidth="1"/>
    <col min="2433" max="2433" width="14.109375" bestFit="1" customWidth="1"/>
    <col min="2434" max="2434" width="33" bestFit="1" customWidth="1"/>
    <col min="2435" max="2435" width="20.88671875" bestFit="1" customWidth="1"/>
    <col min="2436" max="2436" width="22.88671875" bestFit="1" customWidth="1"/>
    <col min="2437" max="2437" width="14.109375" bestFit="1" customWidth="1"/>
    <col min="2438" max="2438" width="33" bestFit="1" customWidth="1"/>
    <col min="2439" max="2439" width="20.88671875" bestFit="1" customWidth="1"/>
    <col min="2440" max="2440" width="22.88671875" bestFit="1" customWidth="1"/>
    <col min="2441" max="2441" width="14.109375" bestFit="1" customWidth="1"/>
    <col min="2442" max="2442" width="33" bestFit="1" customWidth="1"/>
    <col min="2443" max="2443" width="20.88671875" bestFit="1" customWidth="1"/>
    <col min="2444" max="2444" width="22.88671875" bestFit="1" customWidth="1"/>
    <col min="2445" max="2445" width="14.109375" bestFit="1" customWidth="1"/>
    <col min="2446" max="2446" width="33" bestFit="1" customWidth="1"/>
    <col min="2447" max="2447" width="20.88671875" bestFit="1" customWidth="1"/>
    <col min="2448" max="2448" width="22.88671875" bestFit="1" customWidth="1"/>
    <col min="2449" max="2449" width="14.109375" bestFit="1" customWidth="1"/>
    <col min="2450" max="2450" width="33" bestFit="1" customWidth="1"/>
    <col min="2451" max="2451" width="20.88671875" bestFit="1" customWidth="1"/>
    <col min="2452" max="2452" width="22.88671875" bestFit="1" customWidth="1"/>
    <col min="2453" max="2453" width="14.109375" bestFit="1" customWidth="1"/>
    <col min="2454" max="2454" width="33" bestFit="1" customWidth="1"/>
    <col min="2455" max="2455" width="20.88671875" bestFit="1" customWidth="1"/>
    <col min="2456" max="2456" width="22.88671875" bestFit="1" customWidth="1"/>
    <col min="2457" max="2457" width="14.109375" bestFit="1" customWidth="1"/>
    <col min="2458" max="2458" width="33" bestFit="1" customWidth="1"/>
    <col min="2459" max="2459" width="20.88671875" bestFit="1" customWidth="1"/>
    <col min="2460" max="2460" width="22.88671875" bestFit="1" customWidth="1"/>
    <col min="2461" max="2461" width="14.109375" bestFit="1" customWidth="1"/>
    <col min="2462" max="2462" width="33" bestFit="1" customWidth="1"/>
    <col min="2463" max="2463" width="20.88671875" bestFit="1" customWidth="1"/>
    <col min="2464" max="2464" width="22.88671875" bestFit="1" customWidth="1"/>
    <col min="2465" max="2465" width="14.109375" bestFit="1" customWidth="1"/>
    <col min="2466" max="2466" width="33" bestFit="1" customWidth="1"/>
    <col min="2467" max="2467" width="20.88671875" bestFit="1" customWidth="1"/>
    <col min="2468" max="2468" width="22.88671875" bestFit="1" customWidth="1"/>
    <col min="2469" max="2469" width="14.109375" bestFit="1" customWidth="1"/>
    <col min="2470" max="2470" width="33" bestFit="1" customWidth="1"/>
    <col min="2471" max="2471" width="20.88671875" bestFit="1" customWidth="1"/>
    <col min="2472" max="2472" width="22.88671875" bestFit="1" customWidth="1"/>
    <col min="2473" max="2473" width="14.109375" bestFit="1" customWidth="1"/>
    <col min="2474" max="2474" width="33" bestFit="1" customWidth="1"/>
    <col min="2475" max="2475" width="20.88671875" bestFit="1" customWidth="1"/>
    <col min="2476" max="2476" width="22.88671875" bestFit="1" customWidth="1"/>
    <col min="2477" max="2477" width="14.109375" bestFit="1" customWidth="1"/>
    <col min="2478" max="2478" width="33" bestFit="1" customWidth="1"/>
    <col min="2479" max="2479" width="20.88671875" bestFit="1" customWidth="1"/>
    <col min="2480" max="2480" width="22.88671875" bestFit="1" customWidth="1"/>
    <col min="2481" max="2481" width="14.109375" bestFit="1" customWidth="1"/>
    <col min="2482" max="2482" width="33" bestFit="1" customWidth="1"/>
    <col min="2483" max="2483" width="20.88671875" bestFit="1" customWidth="1"/>
    <col min="2484" max="2484" width="22.88671875" bestFit="1" customWidth="1"/>
    <col min="2485" max="2485" width="14.109375" bestFit="1" customWidth="1"/>
    <col min="2486" max="2486" width="33" bestFit="1" customWidth="1"/>
    <col min="2487" max="2487" width="20.88671875" bestFit="1" customWidth="1"/>
    <col min="2488" max="2488" width="22.88671875" bestFit="1" customWidth="1"/>
    <col min="2489" max="2489" width="14.109375" bestFit="1" customWidth="1"/>
    <col min="2490" max="2490" width="33" bestFit="1" customWidth="1"/>
    <col min="2491" max="2491" width="20.88671875" bestFit="1" customWidth="1"/>
    <col min="2492" max="2492" width="22.88671875" bestFit="1" customWidth="1"/>
    <col min="2493" max="2493" width="14.109375" bestFit="1" customWidth="1"/>
    <col min="2494" max="2494" width="33" bestFit="1" customWidth="1"/>
    <col min="2495" max="2495" width="20.88671875" bestFit="1" customWidth="1"/>
    <col min="2496" max="2496" width="22.88671875" bestFit="1" customWidth="1"/>
    <col min="2497" max="2497" width="14.109375" bestFit="1" customWidth="1"/>
    <col min="2498" max="2498" width="33" bestFit="1" customWidth="1"/>
    <col min="2499" max="2499" width="20.88671875" bestFit="1" customWidth="1"/>
    <col min="2500" max="2500" width="22.88671875" bestFit="1" customWidth="1"/>
    <col min="2501" max="2501" width="14.109375" bestFit="1" customWidth="1"/>
    <col min="2502" max="2502" width="33" bestFit="1" customWidth="1"/>
    <col min="2503" max="2503" width="20.88671875" bestFit="1" customWidth="1"/>
    <col min="2504" max="2504" width="22.88671875" bestFit="1" customWidth="1"/>
    <col min="2505" max="2505" width="14.109375" bestFit="1" customWidth="1"/>
    <col min="2506" max="2506" width="33" bestFit="1" customWidth="1"/>
    <col min="2507" max="2507" width="20.88671875" bestFit="1" customWidth="1"/>
    <col min="2508" max="2508" width="22.88671875" bestFit="1" customWidth="1"/>
    <col min="2509" max="2509" width="14.109375" bestFit="1" customWidth="1"/>
    <col min="2510" max="2510" width="33" bestFit="1" customWidth="1"/>
    <col min="2511" max="2511" width="20.88671875" bestFit="1" customWidth="1"/>
    <col min="2512" max="2512" width="22.88671875" bestFit="1" customWidth="1"/>
    <col min="2513" max="2513" width="14.109375" bestFit="1" customWidth="1"/>
    <col min="2514" max="2514" width="33" bestFit="1" customWidth="1"/>
    <col min="2515" max="2515" width="20.88671875" bestFit="1" customWidth="1"/>
    <col min="2516" max="2516" width="22.88671875" bestFit="1" customWidth="1"/>
    <col min="2517" max="2517" width="14.109375" bestFit="1" customWidth="1"/>
    <col min="2518" max="2518" width="33" bestFit="1" customWidth="1"/>
    <col min="2519" max="2519" width="20.88671875" bestFit="1" customWidth="1"/>
    <col min="2520" max="2520" width="22.88671875" bestFit="1" customWidth="1"/>
    <col min="2521" max="2521" width="14.109375" bestFit="1" customWidth="1"/>
    <col min="2522" max="2522" width="33" bestFit="1" customWidth="1"/>
    <col min="2523" max="2523" width="20.88671875" bestFit="1" customWidth="1"/>
    <col min="2524" max="2524" width="22.88671875" bestFit="1" customWidth="1"/>
    <col min="2525" max="2525" width="14.109375" bestFit="1" customWidth="1"/>
    <col min="2526" max="2526" width="33" bestFit="1" customWidth="1"/>
    <col min="2527" max="2527" width="20.88671875" bestFit="1" customWidth="1"/>
    <col min="2528" max="2528" width="22.88671875" bestFit="1" customWidth="1"/>
    <col min="2529" max="2529" width="14.109375" bestFit="1" customWidth="1"/>
    <col min="2530" max="2530" width="33" bestFit="1" customWidth="1"/>
    <col min="2531" max="2531" width="20.88671875" bestFit="1" customWidth="1"/>
    <col min="2532" max="2532" width="22.88671875" bestFit="1" customWidth="1"/>
    <col min="2533" max="2533" width="14.109375" bestFit="1" customWidth="1"/>
    <col min="2534" max="2534" width="33" bestFit="1" customWidth="1"/>
    <col min="2535" max="2535" width="20.88671875" bestFit="1" customWidth="1"/>
    <col min="2536" max="2536" width="22.88671875" bestFit="1" customWidth="1"/>
    <col min="2537" max="2537" width="14.109375" bestFit="1" customWidth="1"/>
    <col min="2538" max="2538" width="33" bestFit="1" customWidth="1"/>
    <col min="2539" max="2539" width="20.88671875" bestFit="1" customWidth="1"/>
    <col min="2540" max="2540" width="22.88671875" bestFit="1" customWidth="1"/>
    <col min="2541" max="2541" width="14.109375" bestFit="1" customWidth="1"/>
    <col min="2542" max="2542" width="33" bestFit="1" customWidth="1"/>
    <col min="2543" max="2543" width="20.88671875" bestFit="1" customWidth="1"/>
    <col min="2544" max="2544" width="22.88671875" bestFit="1" customWidth="1"/>
    <col min="2545" max="2545" width="14.109375" bestFit="1" customWidth="1"/>
    <col min="2546" max="2546" width="33" bestFit="1" customWidth="1"/>
    <col min="2547" max="2547" width="20.88671875" bestFit="1" customWidth="1"/>
    <col min="2548" max="2548" width="22.88671875" bestFit="1" customWidth="1"/>
    <col min="2549" max="2549" width="14.109375" bestFit="1" customWidth="1"/>
    <col min="2550" max="2550" width="33" bestFit="1" customWidth="1"/>
    <col min="2551" max="2551" width="20.88671875" bestFit="1" customWidth="1"/>
    <col min="2552" max="2552" width="22.88671875" bestFit="1" customWidth="1"/>
    <col min="2553" max="2553" width="14.109375" bestFit="1" customWidth="1"/>
    <col min="2554" max="2554" width="33" bestFit="1" customWidth="1"/>
    <col min="2555" max="2555" width="20.88671875" bestFit="1" customWidth="1"/>
    <col min="2556" max="2556" width="22.88671875" bestFit="1" customWidth="1"/>
    <col min="2557" max="2557" width="14.109375" bestFit="1" customWidth="1"/>
    <col min="2558" max="2558" width="33" bestFit="1" customWidth="1"/>
    <col min="2559" max="2559" width="20.88671875" bestFit="1" customWidth="1"/>
    <col min="2560" max="2560" width="22.88671875" bestFit="1" customWidth="1"/>
    <col min="2561" max="2561" width="14.109375" bestFit="1" customWidth="1"/>
    <col min="2562" max="2562" width="33" bestFit="1" customWidth="1"/>
    <col min="2563" max="2563" width="20.88671875" bestFit="1" customWidth="1"/>
    <col min="2564" max="2564" width="22.88671875" bestFit="1" customWidth="1"/>
    <col min="2565" max="2565" width="14.109375" bestFit="1" customWidth="1"/>
    <col min="2566" max="2566" width="33" bestFit="1" customWidth="1"/>
    <col min="2567" max="2567" width="20.88671875" bestFit="1" customWidth="1"/>
    <col min="2568" max="2568" width="22.88671875" bestFit="1" customWidth="1"/>
    <col min="2569" max="2569" width="14.109375" bestFit="1" customWidth="1"/>
    <col min="2570" max="2570" width="33" bestFit="1" customWidth="1"/>
    <col min="2571" max="2571" width="20.88671875" bestFit="1" customWidth="1"/>
    <col min="2572" max="2572" width="22.88671875" bestFit="1" customWidth="1"/>
    <col min="2573" max="2573" width="14.109375" bestFit="1" customWidth="1"/>
    <col min="2574" max="2574" width="33" bestFit="1" customWidth="1"/>
    <col min="2575" max="2575" width="20.88671875" bestFit="1" customWidth="1"/>
    <col min="2576" max="2576" width="22.88671875" bestFit="1" customWidth="1"/>
    <col min="2577" max="2577" width="14.109375" bestFit="1" customWidth="1"/>
    <col min="2578" max="2578" width="33" bestFit="1" customWidth="1"/>
    <col min="2579" max="2579" width="20.88671875" bestFit="1" customWidth="1"/>
    <col min="2580" max="2580" width="22.88671875" bestFit="1" customWidth="1"/>
    <col min="2581" max="2581" width="14.109375" bestFit="1" customWidth="1"/>
    <col min="2582" max="2582" width="33" bestFit="1" customWidth="1"/>
    <col min="2583" max="2583" width="20.88671875" bestFit="1" customWidth="1"/>
    <col min="2584" max="2584" width="22.88671875" bestFit="1" customWidth="1"/>
    <col min="2585" max="2585" width="14.109375" bestFit="1" customWidth="1"/>
    <col min="2586" max="2586" width="33" bestFit="1" customWidth="1"/>
    <col min="2587" max="2587" width="20.88671875" bestFit="1" customWidth="1"/>
    <col min="2588" max="2588" width="22.88671875" bestFit="1" customWidth="1"/>
    <col min="2589" max="2589" width="14.109375" bestFit="1" customWidth="1"/>
    <col min="2590" max="2590" width="33" bestFit="1" customWidth="1"/>
    <col min="2591" max="2591" width="20.88671875" bestFit="1" customWidth="1"/>
    <col min="2592" max="2592" width="22.88671875" bestFit="1" customWidth="1"/>
    <col min="2593" max="2593" width="14.109375" bestFit="1" customWidth="1"/>
    <col min="2594" max="2594" width="33" bestFit="1" customWidth="1"/>
    <col min="2595" max="2595" width="20.88671875" bestFit="1" customWidth="1"/>
    <col min="2596" max="2596" width="22.88671875" bestFit="1" customWidth="1"/>
    <col min="2597" max="2597" width="14.109375" bestFit="1" customWidth="1"/>
    <col min="2598" max="2598" width="33" bestFit="1" customWidth="1"/>
    <col min="2599" max="2599" width="20.88671875" bestFit="1" customWidth="1"/>
    <col min="2600" max="2600" width="22.88671875" bestFit="1" customWidth="1"/>
    <col min="2601" max="2601" width="14.109375" bestFit="1" customWidth="1"/>
    <col min="2602" max="2602" width="33" bestFit="1" customWidth="1"/>
    <col min="2603" max="2603" width="20.88671875" bestFit="1" customWidth="1"/>
    <col min="2604" max="2604" width="22.88671875" bestFit="1" customWidth="1"/>
    <col min="2605" max="2605" width="14.109375" bestFit="1" customWidth="1"/>
    <col min="2606" max="2606" width="33" bestFit="1" customWidth="1"/>
    <col min="2607" max="2607" width="20.88671875" bestFit="1" customWidth="1"/>
    <col min="2608" max="2608" width="22.88671875" bestFit="1" customWidth="1"/>
    <col min="2609" max="2609" width="14.109375" bestFit="1" customWidth="1"/>
    <col min="2610" max="2610" width="33" bestFit="1" customWidth="1"/>
    <col min="2611" max="2611" width="20.88671875" bestFit="1" customWidth="1"/>
    <col min="2612" max="2612" width="22.88671875" bestFit="1" customWidth="1"/>
    <col min="2613" max="2613" width="14.109375" bestFit="1" customWidth="1"/>
    <col min="2614" max="2614" width="33" bestFit="1" customWidth="1"/>
    <col min="2615" max="2615" width="20.88671875" bestFit="1" customWidth="1"/>
    <col min="2616" max="2616" width="22.88671875" bestFit="1" customWidth="1"/>
    <col min="2617" max="2617" width="14.109375" bestFit="1" customWidth="1"/>
    <col min="2618" max="2618" width="33" bestFit="1" customWidth="1"/>
    <col min="2619" max="2619" width="20.88671875" bestFit="1" customWidth="1"/>
    <col min="2620" max="2620" width="22.88671875" bestFit="1" customWidth="1"/>
    <col min="2621" max="2621" width="14.109375" bestFit="1" customWidth="1"/>
    <col min="2622" max="2622" width="33" bestFit="1" customWidth="1"/>
    <col min="2623" max="2623" width="20.88671875" bestFit="1" customWidth="1"/>
    <col min="2624" max="2624" width="22.88671875" bestFit="1" customWidth="1"/>
    <col min="2625" max="2625" width="14.109375" bestFit="1" customWidth="1"/>
    <col min="2626" max="2626" width="33" bestFit="1" customWidth="1"/>
    <col min="2627" max="2627" width="20.88671875" bestFit="1" customWidth="1"/>
    <col min="2628" max="2628" width="22.88671875" bestFit="1" customWidth="1"/>
    <col min="2629" max="2629" width="14.109375" bestFit="1" customWidth="1"/>
    <col min="2630" max="2630" width="33" bestFit="1" customWidth="1"/>
    <col min="2631" max="2631" width="20.88671875" bestFit="1" customWidth="1"/>
    <col min="2632" max="2632" width="22.88671875" bestFit="1" customWidth="1"/>
    <col min="2633" max="2633" width="14.109375" bestFit="1" customWidth="1"/>
    <col min="2634" max="2634" width="33" bestFit="1" customWidth="1"/>
    <col min="2635" max="2635" width="20.88671875" bestFit="1" customWidth="1"/>
    <col min="2636" max="2636" width="22.88671875" bestFit="1" customWidth="1"/>
    <col min="2637" max="2637" width="14.109375" bestFit="1" customWidth="1"/>
    <col min="2638" max="2638" width="33" bestFit="1" customWidth="1"/>
    <col min="2639" max="2639" width="20.88671875" bestFit="1" customWidth="1"/>
    <col min="2640" max="2640" width="22.88671875" bestFit="1" customWidth="1"/>
    <col min="2641" max="2641" width="14.109375" bestFit="1" customWidth="1"/>
    <col min="2642" max="2642" width="33" bestFit="1" customWidth="1"/>
    <col min="2643" max="2643" width="20.88671875" bestFit="1" customWidth="1"/>
    <col min="2644" max="2644" width="22.88671875" bestFit="1" customWidth="1"/>
    <col min="2645" max="2645" width="14.109375" bestFit="1" customWidth="1"/>
    <col min="2646" max="2646" width="33" bestFit="1" customWidth="1"/>
    <col min="2647" max="2647" width="20.88671875" bestFit="1" customWidth="1"/>
    <col min="2648" max="2648" width="22.88671875" bestFit="1" customWidth="1"/>
    <col min="2649" max="2649" width="14.109375" bestFit="1" customWidth="1"/>
    <col min="2650" max="2650" width="33" bestFit="1" customWidth="1"/>
    <col min="2651" max="2651" width="20.88671875" bestFit="1" customWidth="1"/>
    <col min="2652" max="2652" width="27.6640625" bestFit="1" customWidth="1"/>
    <col min="2653" max="2653" width="18.88671875" bestFit="1" customWidth="1"/>
    <col min="2654" max="2654" width="37.88671875" bestFit="1" customWidth="1"/>
    <col min="2655" max="2655" width="25.77734375" bestFit="1" customWidth="1"/>
  </cols>
  <sheetData>
    <row r="5" spans="3:9" ht="18" x14ac:dyDescent="0.35">
      <c r="C5" s="19" t="s">
        <v>26</v>
      </c>
      <c r="D5" s="19" t="s">
        <v>28</v>
      </c>
      <c r="E5" s="19" t="s">
        <v>32</v>
      </c>
      <c r="F5" s="19" t="s">
        <v>29</v>
      </c>
      <c r="G5" s="19" t="s">
        <v>31</v>
      </c>
      <c r="H5" s="19" t="s">
        <v>30</v>
      </c>
      <c r="I5" s="19" t="s">
        <v>33</v>
      </c>
    </row>
    <row r="6" spans="3:9" ht="18" x14ac:dyDescent="0.35">
      <c r="C6" s="19">
        <v>0</v>
      </c>
      <c r="D6" s="19">
        <v>70.92</v>
      </c>
      <c r="E6" s="19">
        <v>110.682</v>
      </c>
      <c r="F6" s="19">
        <v>30.880200000000002</v>
      </c>
      <c r="G6" s="19">
        <v>0.429734</v>
      </c>
      <c r="H6" s="19">
        <v>3.298</v>
      </c>
      <c r="I6" s="19">
        <v>31.19</v>
      </c>
    </row>
    <row r="7" spans="3:9" ht="18" x14ac:dyDescent="0.35">
      <c r="C7" s="19">
        <v>1</v>
      </c>
      <c r="D7" s="19">
        <v>75.123134328358205</v>
      </c>
      <c r="E7" s="19">
        <v>142.13059701492537</v>
      </c>
      <c r="F7" s="19">
        <v>35.38134328358209</v>
      </c>
      <c r="G7" s="19">
        <v>0.55049999999999999</v>
      </c>
      <c r="H7" s="19">
        <v>4.8656716417910451</v>
      </c>
      <c r="I7" s="19">
        <v>37.067164179104481</v>
      </c>
    </row>
    <row r="8" spans="3:9" ht="18" x14ac:dyDescent="0.35">
      <c r="C8" s="19" t="s">
        <v>27</v>
      </c>
      <c r="D8" s="19">
        <v>72.38671875</v>
      </c>
      <c r="E8" s="19">
        <v>121.65625</v>
      </c>
      <c r="F8" s="19">
        <v>32.45091145833333</v>
      </c>
      <c r="G8" s="19">
        <v>0.47187630208333337</v>
      </c>
      <c r="H8" s="19">
        <v>3.8450520833333335</v>
      </c>
      <c r="I8" s="19">
        <v>33.240885416666664</v>
      </c>
    </row>
  </sheetData>
  <pageMargins left="0.7" right="0.7" top="0.75" bottom="0.75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diabetes</vt:lpstr>
      <vt:lpstr>CLEAN DATA </vt:lpstr>
      <vt:lpstr>P- VALUE AND CORRELATION</vt:lpstr>
      <vt:lpstr>DESCRIPTIVE STATISTIC </vt:lpstr>
      <vt:lpstr>PIVOT TABLE 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Rk Aheriya</dc:creator>
  <dc:description/>
  <cp:lastModifiedBy>hp laptop</cp:lastModifiedBy>
  <cp:revision>0</cp:revision>
  <dcterms:created xsi:type="dcterms:W3CDTF">2026-07-09T20:33:08Z</dcterms:created>
  <dcterms:modified xsi:type="dcterms:W3CDTF">2026-07-12T16:28:00Z</dcterms:modified>
  <dc:language>en-US</dc:language>
</cp:coreProperties>
</file>